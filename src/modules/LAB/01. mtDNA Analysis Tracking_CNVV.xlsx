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genestory-my.sharepoint.com/personal/nam_nguyen_genestory_ai/Documents/Workspace/Analysis/mtDNA/"/>
    </mc:Choice>
  </mc:AlternateContent>
  <xr:revisionPtr revIDLastSave="0" documentId="8_{7752CFBC-2A2E-4A34-ACEA-B18D016B5465}" xr6:coauthVersionLast="47" xr6:coauthVersionMax="47" xr10:uidLastSave="{00000000-0000-0000-0000-000000000000}"/>
  <bookViews>
    <workbookView xWindow="28680" yWindow="-120" windowWidth="29040" windowHeight="15720" xr2:uid="{00000000-000D-0000-FFFF-FFFF00000000}"/>
  </bookViews>
  <sheets>
    <sheet name="Awaiting Approval (AA)" sheetId="8" r:id="rId1"/>
    <sheet name="From Batch 20" sheetId="1" r:id="rId2"/>
    <sheet name="SL KQ theo ngày" sheetId="6" r:id="rId3"/>
    <sheet name="Sum" sheetId="9" r:id="rId4"/>
    <sheet name="Sum (From Batch 1)" sheetId="5" r:id="rId5"/>
    <sheet name="From Batch 15 to 19" sheetId="3" r:id="rId6"/>
    <sheet name="From Batch 6 to 14" sheetId="4" r:id="rId7"/>
    <sheet name="Hung" sheetId="7" r:id="rId8"/>
    <sheet name="Sheet2" sheetId="2" r:id="rId9"/>
  </sheets>
  <definedNames>
    <definedName name="_xlnm._FilterDatabase" localSheetId="1" hidden="1">'From Batch 20'!$A$1:$AF$762</definedName>
    <definedName name="_xlnm._FilterDatabase" localSheetId="0" hidden="1">'Awaiting Approval (AA)'!$A$1:$G$188</definedName>
  </definedNames>
  <calcPr calcId="191028" iterate="1" iterateCount="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00" i="1" l="1"/>
  <c r="Z500" i="1" s="1"/>
  <c r="N501" i="1"/>
  <c r="Z501" i="1" s="1"/>
  <c r="N502" i="1"/>
  <c r="Z502" i="1" s="1"/>
  <c r="N503" i="1"/>
  <c r="Z503" i="1" s="1"/>
  <c r="N504" i="1"/>
  <c r="Z504" i="1" s="1"/>
  <c r="N505" i="1"/>
  <c r="Z505" i="1" s="1"/>
  <c r="N506" i="1"/>
  <c r="Z506" i="1" s="1"/>
  <c r="N507" i="1"/>
  <c r="Z507" i="1" s="1"/>
  <c r="N508" i="1"/>
  <c r="Z508" i="1" s="1"/>
  <c r="N509" i="1"/>
  <c r="Z509" i="1" s="1"/>
  <c r="N510" i="1"/>
  <c r="Z510" i="1" s="1"/>
  <c r="N511" i="1"/>
  <c r="Z511" i="1" s="1"/>
  <c r="N512" i="1"/>
  <c r="Z512" i="1" s="1"/>
  <c r="N452" i="1"/>
  <c r="Z452" i="1" s="1"/>
  <c r="N453" i="1"/>
  <c r="Z453" i="1" s="1"/>
  <c r="N454" i="1"/>
  <c r="Z454" i="1" s="1"/>
  <c r="N455" i="1"/>
  <c r="Z455" i="1" s="1"/>
  <c r="N456" i="1"/>
  <c r="Z456" i="1" s="1"/>
  <c r="N457" i="1"/>
  <c r="Z457" i="1" s="1"/>
  <c r="N458" i="1"/>
  <c r="Z458" i="1" s="1"/>
  <c r="N459" i="1"/>
  <c r="Z459" i="1" s="1"/>
  <c r="N460" i="1"/>
  <c r="Z460" i="1" s="1"/>
  <c r="N461" i="1"/>
  <c r="Z461" i="1" s="1"/>
  <c r="N462" i="1"/>
  <c r="Z462" i="1" s="1"/>
  <c r="N463" i="1"/>
  <c r="Z463" i="1" s="1"/>
  <c r="N464" i="1"/>
  <c r="Z464" i="1" s="1"/>
  <c r="N465" i="1"/>
  <c r="Z465" i="1" s="1"/>
  <c r="N466" i="1"/>
  <c r="Z466" i="1" s="1"/>
  <c r="N467" i="1"/>
  <c r="Z467" i="1" s="1"/>
  <c r="N468" i="1"/>
  <c r="Z468" i="1" s="1"/>
  <c r="N469" i="1"/>
  <c r="Z469" i="1" s="1"/>
  <c r="N470" i="1"/>
  <c r="Z470" i="1" s="1"/>
  <c r="N471" i="1"/>
  <c r="Z471" i="1" s="1"/>
  <c r="N472" i="1"/>
  <c r="Z472" i="1" s="1"/>
  <c r="N473" i="1"/>
  <c r="Z473" i="1" s="1"/>
  <c r="N474" i="1"/>
  <c r="Z474" i="1" s="1"/>
  <c r="N475" i="1"/>
  <c r="Z475" i="1" s="1"/>
  <c r="N476" i="1"/>
  <c r="Z476" i="1" s="1"/>
  <c r="N477" i="1"/>
  <c r="Z477" i="1" s="1"/>
  <c r="N478" i="1"/>
  <c r="Z478" i="1" s="1"/>
  <c r="N479" i="1"/>
  <c r="Z479" i="1" s="1"/>
  <c r="N480" i="1"/>
  <c r="Z480" i="1" s="1"/>
  <c r="N481" i="1"/>
  <c r="Z481" i="1" s="1"/>
  <c r="N482" i="1"/>
  <c r="Z482" i="1" s="1"/>
  <c r="N483" i="1"/>
  <c r="Z483" i="1" s="1"/>
  <c r="N484" i="1"/>
  <c r="Z484" i="1" s="1"/>
  <c r="N485" i="1"/>
  <c r="Z485" i="1" s="1"/>
  <c r="N486" i="1"/>
  <c r="Z486" i="1" s="1"/>
  <c r="N487" i="1"/>
  <c r="Z487" i="1" s="1"/>
  <c r="N488" i="1"/>
  <c r="Z488" i="1" s="1"/>
  <c r="N489" i="1"/>
  <c r="Z489" i="1" s="1"/>
  <c r="N490" i="1"/>
  <c r="Z490" i="1" s="1"/>
  <c r="N491" i="1"/>
  <c r="Z491" i="1" s="1"/>
  <c r="N492" i="1"/>
  <c r="Z492" i="1" s="1"/>
  <c r="N493" i="1"/>
  <c r="Z493" i="1" s="1"/>
  <c r="N494" i="1"/>
  <c r="Z494" i="1" s="1"/>
  <c r="N495" i="1"/>
  <c r="Z495" i="1" s="1"/>
  <c r="N496" i="1"/>
  <c r="Z496" i="1" s="1"/>
  <c r="N497" i="1"/>
  <c r="Z497" i="1" s="1"/>
  <c r="N498" i="1"/>
  <c r="Z498" i="1" s="1"/>
  <c r="N499" i="1"/>
  <c r="Z499" i="1" s="1"/>
  <c r="E458" i="1"/>
  <c r="C2" i="1"/>
  <c r="L2" i="1"/>
  <c r="L3" i="1"/>
  <c r="M2" i="1"/>
  <c r="E461" i="1"/>
  <c r="E459" i="1"/>
  <c r="N450" i="1"/>
  <c r="N451" i="1"/>
  <c r="Z451" i="1" s="1"/>
  <c r="E457"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K542" i="1"/>
  <c r="E445" i="1"/>
  <c r="E446" i="1"/>
  <c r="E447" i="1"/>
  <c r="E448" i="1"/>
  <c r="E449" i="1"/>
  <c r="E450" i="1"/>
  <c r="E451" i="1"/>
  <c r="E452" i="1"/>
  <c r="E453" i="1"/>
  <c r="E454" i="1"/>
  <c r="E455" i="1"/>
  <c r="E456" i="1"/>
  <c r="E460"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444" i="1"/>
  <c r="Z450" i="1"/>
  <c r="N449" i="1"/>
  <c r="Z449" i="1" s="1"/>
  <c r="N447" i="1"/>
  <c r="Z447" i="1" s="1"/>
  <c r="N446" i="1"/>
  <c r="Z446" i="1" s="1"/>
  <c r="N445" i="1"/>
  <c r="Z445" i="1" s="1"/>
  <c r="N444" i="1"/>
  <c r="Z444" i="1" s="1"/>
  <c r="N443" i="1"/>
  <c r="Z443" i="1" s="1"/>
  <c r="N442" i="1"/>
  <c r="Z442" i="1" s="1"/>
  <c r="N441" i="1"/>
  <c r="Z441" i="1" s="1"/>
  <c r="N440" i="1"/>
  <c r="Z440" i="1" s="1"/>
  <c r="N439" i="1"/>
  <c r="Z439" i="1" s="1"/>
  <c r="N438" i="1"/>
  <c r="Z438" i="1" s="1"/>
  <c r="N437" i="1"/>
  <c r="Z437" i="1" s="1"/>
  <c r="N436" i="1"/>
  <c r="Z436" i="1" s="1"/>
  <c r="N435" i="1"/>
  <c r="Z435" i="1" s="1"/>
  <c r="N434" i="1"/>
  <c r="Z434" i="1" s="1"/>
  <c r="N433" i="1"/>
  <c r="Z433" i="1" s="1"/>
  <c r="N432" i="1"/>
  <c r="Z432" i="1" s="1"/>
  <c r="N431" i="1"/>
  <c r="Z431" i="1" s="1"/>
  <c r="N430" i="1"/>
  <c r="Z430" i="1" s="1"/>
  <c r="N429" i="1"/>
  <c r="Z429" i="1" s="1"/>
  <c r="N428" i="1"/>
  <c r="Z428" i="1" s="1"/>
  <c r="N427" i="1"/>
  <c r="Z427" i="1" s="1"/>
  <c r="N426" i="1"/>
  <c r="Z426" i="1" s="1"/>
  <c r="N425" i="1"/>
  <c r="Z425" i="1" s="1"/>
  <c r="N424" i="1"/>
  <c r="Z424" i="1" s="1"/>
  <c r="N423" i="1"/>
  <c r="Z423" i="1" s="1"/>
  <c r="N422" i="1"/>
  <c r="Z422" i="1" s="1"/>
  <c r="N421" i="1"/>
  <c r="Z421" i="1" s="1"/>
  <c r="N420" i="1"/>
  <c r="Z420" i="1" s="1"/>
  <c r="N419" i="1"/>
  <c r="Z419" i="1" s="1"/>
  <c r="N418" i="1"/>
  <c r="Z418" i="1" s="1"/>
  <c r="N417" i="1"/>
  <c r="Z417" i="1" s="1"/>
  <c r="N416" i="1"/>
  <c r="Z416" i="1" s="1"/>
  <c r="N415" i="1"/>
  <c r="Z415" i="1" s="1"/>
  <c r="N414" i="1"/>
  <c r="Z414" i="1" s="1"/>
  <c r="N413" i="1"/>
  <c r="Z413" i="1" s="1"/>
  <c r="N412" i="1"/>
  <c r="Z412" i="1" s="1"/>
  <c r="N411" i="1"/>
  <c r="Z411" i="1" s="1"/>
  <c r="N410" i="1"/>
  <c r="Z410" i="1" s="1"/>
  <c r="N409" i="1"/>
  <c r="Z409" i="1" s="1"/>
  <c r="N408" i="1"/>
  <c r="Z408" i="1" s="1"/>
  <c r="N407" i="1"/>
  <c r="Z407" i="1" s="1"/>
  <c r="N406" i="1"/>
  <c r="Z406" i="1" s="1"/>
  <c r="N405" i="1"/>
  <c r="Z405" i="1" s="1"/>
  <c r="N404" i="1"/>
  <c r="Z404" i="1" s="1"/>
  <c r="N403" i="1"/>
  <c r="Z403" i="1" s="1"/>
  <c r="N402" i="1"/>
  <c r="Z402" i="1" s="1"/>
  <c r="N401" i="1"/>
  <c r="Z401" i="1" s="1"/>
  <c r="N400" i="1"/>
  <c r="Z400" i="1" s="1"/>
  <c r="N399" i="1"/>
  <c r="Z399" i="1" s="1"/>
  <c r="N398" i="1"/>
  <c r="Z398" i="1" s="1"/>
  <c r="N397" i="1"/>
  <c r="Z397" i="1" s="1"/>
  <c r="N396" i="1"/>
  <c r="Z396" i="1" s="1"/>
  <c r="N395" i="1"/>
  <c r="Z395" i="1" s="1"/>
  <c r="N394" i="1"/>
  <c r="Z394" i="1" s="1"/>
  <c r="N393" i="1"/>
  <c r="Z393" i="1" s="1"/>
  <c r="N392" i="1"/>
  <c r="Z392" i="1" s="1"/>
  <c r="N391" i="1"/>
  <c r="Z391" i="1" s="1"/>
  <c r="N390" i="1"/>
  <c r="Z390" i="1" s="1"/>
  <c r="N389" i="1"/>
  <c r="Z389" i="1" s="1"/>
  <c r="N388" i="1"/>
  <c r="Z388" i="1" s="1"/>
  <c r="N387" i="1"/>
  <c r="Z387" i="1" s="1"/>
  <c r="N386" i="1"/>
  <c r="Z386" i="1" s="1"/>
  <c r="N385" i="1"/>
  <c r="Z385" i="1" s="1"/>
  <c r="N384" i="1"/>
  <c r="Z384" i="1" s="1"/>
  <c r="Z383" i="1"/>
  <c r="N382" i="1"/>
  <c r="Z382" i="1" s="1"/>
  <c r="N381" i="1"/>
  <c r="Z381" i="1" s="1"/>
  <c r="N380" i="1"/>
  <c r="Z380" i="1" s="1"/>
  <c r="N379" i="1"/>
  <c r="Z379" i="1" s="1"/>
  <c r="N378" i="1"/>
  <c r="Z378" i="1" s="1"/>
  <c r="N377" i="1"/>
  <c r="Z377" i="1" s="1"/>
  <c r="N376" i="1"/>
  <c r="Z376" i="1" s="1"/>
  <c r="N375" i="1"/>
  <c r="Z375" i="1" s="1"/>
  <c r="N374" i="1"/>
  <c r="Z374" i="1" s="1"/>
  <c r="N373" i="1"/>
  <c r="Z373" i="1" s="1"/>
  <c r="N372" i="1"/>
  <c r="Z372" i="1" s="1"/>
  <c r="N371" i="1"/>
  <c r="Z371" i="1" s="1"/>
  <c r="N370" i="1"/>
  <c r="Z370" i="1" s="1"/>
  <c r="N369" i="1"/>
  <c r="Z369" i="1" s="1"/>
  <c r="N368" i="1"/>
  <c r="Z368" i="1" s="1"/>
  <c r="N367" i="1"/>
  <c r="Z367" i="1" s="1"/>
  <c r="N366" i="1"/>
  <c r="Z366" i="1" s="1"/>
  <c r="N365" i="1"/>
  <c r="Z365" i="1" s="1"/>
  <c r="N364" i="1"/>
  <c r="Z364" i="1" s="1"/>
  <c r="N363" i="1"/>
  <c r="Z363" i="1" s="1"/>
  <c r="N362" i="1"/>
  <c r="Z362" i="1" s="1"/>
  <c r="N361" i="1"/>
  <c r="Z361" i="1" s="1"/>
  <c r="N360" i="1"/>
  <c r="Z360" i="1" s="1"/>
  <c r="N359" i="1"/>
  <c r="Z359" i="1" s="1"/>
  <c r="N358" i="1"/>
  <c r="Z358" i="1" s="1"/>
  <c r="N357" i="1"/>
  <c r="Z357" i="1" s="1"/>
  <c r="N356" i="1"/>
  <c r="Z356" i="1" s="1"/>
  <c r="N355" i="1"/>
  <c r="Z355" i="1" s="1"/>
  <c r="N354" i="1"/>
  <c r="Z354" i="1" s="1"/>
  <c r="N353" i="1"/>
  <c r="Z353" i="1" s="1"/>
  <c r="N352" i="1"/>
  <c r="Z352" i="1" s="1"/>
  <c r="N351" i="1"/>
  <c r="Z351" i="1" s="1"/>
  <c r="N350" i="1"/>
  <c r="Z350" i="1" s="1"/>
  <c r="N348" i="1"/>
  <c r="Z348" i="1" s="1"/>
  <c r="N347" i="1"/>
  <c r="Z347" i="1" s="1"/>
  <c r="N346" i="1"/>
  <c r="Z346" i="1" s="1"/>
  <c r="N345" i="1"/>
  <c r="Z345" i="1" s="1"/>
  <c r="N344" i="1"/>
  <c r="Z344" i="1" s="1"/>
  <c r="N343" i="1"/>
  <c r="Z343" i="1" s="1"/>
  <c r="N342" i="1"/>
  <c r="Z342" i="1" s="1"/>
  <c r="N341" i="1"/>
  <c r="Z341" i="1" s="1"/>
  <c r="N340" i="1"/>
  <c r="Z340" i="1" s="1"/>
  <c r="N339" i="1"/>
  <c r="Z339" i="1" s="1"/>
  <c r="N338" i="1"/>
  <c r="Z338" i="1" s="1"/>
  <c r="N337" i="1"/>
  <c r="Z337" i="1" s="1"/>
  <c r="N336" i="1"/>
  <c r="Z336" i="1" s="1"/>
  <c r="N335" i="1"/>
  <c r="Z335" i="1" s="1"/>
  <c r="N334" i="1"/>
  <c r="Z334" i="1" s="1"/>
  <c r="N333" i="1"/>
  <c r="Z333" i="1" s="1"/>
  <c r="N332" i="1"/>
  <c r="Z332" i="1" s="1"/>
  <c r="N331" i="1"/>
  <c r="Z331" i="1" s="1"/>
  <c r="N330" i="1"/>
  <c r="Z330" i="1" s="1"/>
  <c r="N329" i="1"/>
  <c r="Z329" i="1" s="1"/>
  <c r="N328" i="1"/>
  <c r="Z328" i="1" s="1"/>
  <c r="N327" i="1"/>
  <c r="Z327" i="1" s="1"/>
  <c r="N326" i="1"/>
  <c r="Z326" i="1" s="1"/>
  <c r="N325" i="1"/>
  <c r="Z325" i="1" s="1"/>
  <c r="N324" i="1"/>
  <c r="Z324" i="1" s="1"/>
  <c r="N323" i="1"/>
  <c r="Z323" i="1" s="1"/>
  <c r="N322" i="1"/>
  <c r="Z322" i="1" s="1"/>
  <c r="N321" i="1"/>
  <c r="Z321" i="1" s="1"/>
  <c r="N320" i="1"/>
  <c r="Z320" i="1" s="1"/>
  <c r="N319" i="1"/>
  <c r="Z319" i="1" s="1"/>
  <c r="N318" i="1"/>
  <c r="Z318" i="1" s="1"/>
  <c r="N317" i="1"/>
  <c r="Z317" i="1" s="1"/>
  <c r="N316" i="1"/>
  <c r="Z316" i="1" s="1"/>
  <c r="N315" i="1"/>
  <c r="Z315" i="1" s="1"/>
  <c r="N314" i="1"/>
  <c r="Z314" i="1" s="1"/>
  <c r="N313" i="1"/>
  <c r="Z313" i="1" s="1"/>
  <c r="N312" i="1"/>
  <c r="Z312" i="1" s="1"/>
  <c r="N311" i="1"/>
  <c r="Z311" i="1" s="1"/>
  <c r="N310" i="1"/>
  <c r="Z310" i="1" s="1"/>
  <c r="N309" i="1"/>
  <c r="Z309" i="1" s="1"/>
  <c r="N308" i="1"/>
  <c r="Z308" i="1" s="1"/>
  <c r="N307" i="1"/>
  <c r="Z307" i="1" s="1"/>
  <c r="N306" i="1"/>
  <c r="Z306" i="1" s="1"/>
  <c r="N305" i="1"/>
  <c r="Z305" i="1" s="1"/>
  <c r="N304" i="1"/>
  <c r="Z304" i="1" s="1"/>
  <c r="N303" i="1"/>
  <c r="Z303" i="1" s="1"/>
  <c r="N302" i="1"/>
  <c r="Z302" i="1" s="1"/>
  <c r="N301" i="1"/>
  <c r="Z301" i="1" s="1"/>
  <c r="N300" i="1"/>
  <c r="Z300" i="1" s="1"/>
  <c r="N299" i="1"/>
  <c r="Z299" i="1" s="1"/>
  <c r="N298" i="1"/>
  <c r="Z298" i="1" s="1"/>
  <c r="N297" i="1"/>
  <c r="Z297" i="1" s="1"/>
  <c r="N296" i="1"/>
  <c r="Z296" i="1" s="1"/>
  <c r="N295" i="1"/>
  <c r="Z295" i="1" s="1"/>
  <c r="N294" i="1"/>
  <c r="Z294" i="1" s="1"/>
  <c r="N293" i="1"/>
  <c r="Z293" i="1" s="1"/>
  <c r="N292" i="1"/>
  <c r="Z292" i="1" s="1"/>
  <c r="N291" i="1"/>
  <c r="Z291" i="1" s="1"/>
  <c r="N290" i="1"/>
  <c r="Z290" i="1" s="1"/>
  <c r="Z289" i="1"/>
  <c r="N288" i="1"/>
  <c r="Z288" i="1" s="1"/>
  <c r="N287" i="1"/>
  <c r="Z287" i="1" s="1"/>
  <c r="N286" i="1"/>
  <c r="Z286" i="1" s="1"/>
  <c r="N285" i="1"/>
  <c r="Z285" i="1" s="1"/>
  <c r="N284" i="1"/>
  <c r="Z284" i="1" s="1"/>
  <c r="Z283" i="1"/>
  <c r="Z282" i="1"/>
  <c r="N281" i="1"/>
  <c r="Z281" i="1" s="1"/>
  <c r="N280" i="1"/>
  <c r="Z280" i="1" s="1"/>
  <c r="N279" i="1"/>
  <c r="Z279" i="1" s="1"/>
  <c r="N278" i="1"/>
  <c r="Z278" i="1" s="1"/>
  <c r="Z277" i="1"/>
  <c r="Z276" i="1"/>
  <c r="N275" i="1"/>
  <c r="Z275" i="1" s="1"/>
  <c r="N274" i="1"/>
  <c r="Z274" i="1" s="1"/>
  <c r="N273" i="1"/>
  <c r="Z273" i="1" s="1"/>
  <c r="N272" i="1"/>
  <c r="Z272" i="1" s="1"/>
  <c r="Z271" i="1"/>
  <c r="N270" i="1"/>
  <c r="Z270" i="1" s="1"/>
  <c r="Z269" i="1"/>
  <c r="Z268" i="1"/>
  <c r="N267" i="1"/>
  <c r="Z267" i="1" s="1"/>
  <c r="Z266" i="1"/>
  <c r="Z265" i="1"/>
  <c r="N264" i="1"/>
  <c r="Z264" i="1" s="1"/>
  <c r="N263" i="1"/>
  <c r="Z263" i="1" s="1"/>
  <c r="N262" i="1"/>
  <c r="Z262" i="1" s="1"/>
  <c r="Z261" i="1"/>
  <c r="N260" i="1"/>
  <c r="Z260" i="1" s="1"/>
  <c r="Z259" i="1"/>
  <c r="Z258" i="1"/>
  <c r="Z257" i="1"/>
  <c r="Z256" i="1"/>
  <c r="N255" i="1"/>
  <c r="Z255" i="1" s="1"/>
  <c r="Z254" i="1"/>
  <c r="N253" i="1"/>
  <c r="Z253" i="1" s="1"/>
  <c r="Z252" i="1"/>
  <c r="Z251" i="1"/>
  <c r="Z250" i="1"/>
  <c r="N249" i="1"/>
  <c r="Z249" i="1" s="1"/>
  <c r="Z248" i="1"/>
  <c r="N247" i="1"/>
  <c r="Z247" i="1" s="1"/>
  <c r="Z246" i="1"/>
  <c r="Z245" i="1"/>
  <c r="N244" i="1"/>
  <c r="Z244" i="1" s="1"/>
  <c r="Z243" i="1"/>
  <c r="Z242" i="1"/>
  <c r="Z241" i="1"/>
  <c r="Z240" i="1"/>
  <c r="Z239" i="1"/>
  <c r="Z238" i="1"/>
  <c r="Z237" i="1"/>
  <c r="Z236" i="1"/>
  <c r="Z235" i="1"/>
  <c r="Z234" i="1"/>
  <c r="Z233" i="1"/>
  <c r="Z232" i="1"/>
  <c r="Z231" i="1"/>
  <c r="Z230" i="1"/>
  <c r="Z229" i="1"/>
  <c r="Z228" i="1"/>
  <c r="Z227" i="1"/>
  <c r="Z226" i="1"/>
  <c r="Z225" i="1"/>
  <c r="Z224" i="1"/>
  <c r="Z223" i="1"/>
  <c r="Z222" i="1"/>
  <c r="Z221" i="1"/>
  <c r="Z220" i="1"/>
  <c r="Z219" i="1"/>
  <c r="Z218" i="1"/>
  <c r="N217" i="1"/>
  <c r="Z217" i="1" s="1"/>
  <c r="Z216" i="1"/>
  <c r="Z215" i="1"/>
  <c r="Z214" i="1"/>
  <c r="Z213" i="1"/>
  <c r="Z212" i="1"/>
  <c r="Z211" i="1"/>
  <c r="N210" i="1"/>
  <c r="Z210" i="1" s="1"/>
  <c r="Z209" i="1"/>
  <c r="Z208" i="1"/>
  <c r="Z207" i="1"/>
  <c r="N206" i="1"/>
  <c r="Z206" i="1" s="1"/>
  <c r="Z205" i="1"/>
  <c r="N204" i="1"/>
  <c r="Z204" i="1" s="1"/>
  <c r="N203" i="1"/>
  <c r="Z203" i="1" s="1"/>
  <c r="Z202" i="1"/>
  <c r="Z201" i="1"/>
  <c r="N200" i="1"/>
  <c r="Z200" i="1" s="1"/>
  <c r="N199" i="1"/>
  <c r="Z199" i="1" s="1"/>
  <c r="N198" i="1"/>
  <c r="Z198" i="1" s="1"/>
  <c r="N197" i="1"/>
  <c r="Z197" i="1" s="1"/>
  <c r="Z196" i="1"/>
  <c r="N195" i="1"/>
  <c r="Z195" i="1" s="1"/>
  <c r="N194" i="1"/>
  <c r="Z194" i="1" s="1"/>
  <c r="Z193" i="1"/>
  <c r="Z192" i="1"/>
  <c r="N191" i="1"/>
  <c r="Z191" i="1" s="1"/>
  <c r="N190" i="1"/>
  <c r="Z190" i="1" s="1"/>
  <c r="Z189" i="1"/>
  <c r="Z188" i="1"/>
  <c r="N187" i="1"/>
  <c r="Z187" i="1" s="1"/>
  <c r="Z186" i="1"/>
  <c r="N185" i="1"/>
  <c r="Z185" i="1" s="1"/>
  <c r="N184" i="1"/>
  <c r="Z184" i="1" s="1"/>
  <c r="N183" i="1"/>
  <c r="Z183" i="1" s="1"/>
  <c r="Z182" i="1"/>
  <c r="Z181" i="1"/>
  <c r="Z180" i="1"/>
  <c r="Z179" i="1"/>
  <c r="N178" i="1"/>
  <c r="Z178" i="1" s="1"/>
  <c r="Z177" i="1"/>
  <c r="N176" i="1"/>
  <c r="Z176" i="1" s="1"/>
  <c r="N175" i="1"/>
  <c r="Z175" i="1" s="1"/>
  <c r="N174" i="1"/>
  <c r="Z174" i="1" s="1"/>
  <c r="Z173" i="1"/>
  <c r="N172" i="1"/>
  <c r="Z172" i="1" s="1"/>
  <c r="Z171" i="1"/>
  <c r="Z170" i="1"/>
  <c r="Z169" i="1"/>
  <c r="Z168" i="1"/>
  <c r="Z167" i="1"/>
  <c r="Z166" i="1"/>
  <c r="Z165" i="1"/>
  <c r="Z164" i="1"/>
  <c r="Z163" i="1"/>
  <c r="Z162" i="1"/>
  <c r="Z161" i="1"/>
  <c r="Z160" i="1"/>
  <c r="Z159" i="1"/>
  <c r="Z158" i="1"/>
  <c r="Z157" i="1"/>
  <c r="Z156" i="1"/>
  <c r="Z155" i="1"/>
  <c r="Z154" i="1"/>
  <c r="Z153" i="1"/>
  <c r="Z152" i="1"/>
  <c r="Z151" i="1"/>
  <c r="Z150" i="1"/>
  <c r="Z149" i="1"/>
  <c r="Z148" i="1"/>
  <c r="Z147" i="1"/>
  <c r="Z146" i="1"/>
  <c r="N145" i="1"/>
  <c r="Z145" i="1" s="1"/>
  <c r="N144" i="1"/>
  <c r="Z144" i="1" s="1"/>
  <c r="Z143" i="1"/>
  <c r="Z142" i="1"/>
  <c r="Z141" i="1"/>
  <c r="Z140" i="1"/>
  <c r="Z139" i="1"/>
  <c r="Z138" i="1"/>
  <c r="Z137" i="1"/>
  <c r="Z136" i="1"/>
  <c r="Z135" i="1"/>
  <c r="Z134" i="1"/>
  <c r="N133" i="1"/>
  <c r="Z133" i="1" s="1"/>
  <c r="N132" i="1"/>
  <c r="Z132" i="1" s="1"/>
  <c r="Z131" i="1"/>
  <c r="Z130" i="1"/>
  <c r="Z129" i="1"/>
  <c r="Z128" i="1"/>
  <c r="N127" i="1"/>
  <c r="Z127" i="1" s="1"/>
  <c r="N126" i="1"/>
  <c r="Z126" i="1" s="1"/>
  <c r="N125" i="1"/>
  <c r="Z125" i="1" s="1"/>
  <c r="Z124" i="1"/>
  <c r="N123" i="1"/>
  <c r="Z123" i="1" s="1"/>
  <c r="Z122" i="1"/>
  <c r="Z121" i="1"/>
  <c r="Z120" i="1"/>
  <c r="N119" i="1"/>
  <c r="Z119" i="1" s="1"/>
  <c r="Z118" i="1"/>
  <c r="Z117" i="1"/>
  <c r="Z116" i="1"/>
  <c r="Z115" i="1"/>
  <c r="Z114" i="1"/>
  <c r="Z113" i="1"/>
  <c r="Z112" i="1"/>
  <c r="Z111" i="1"/>
  <c r="Z110" i="1"/>
  <c r="Z109" i="1"/>
  <c r="Z108" i="1"/>
  <c r="Z107" i="1"/>
  <c r="Z106" i="1"/>
  <c r="N105" i="1"/>
  <c r="Z105" i="1" s="1"/>
  <c r="Z104" i="1"/>
  <c r="Z103" i="1"/>
  <c r="Z102" i="1"/>
  <c r="Z101" i="1"/>
  <c r="Z100" i="1"/>
  <c r="N99" i="1"/>
  <c r="Z99" i="1" s="1"/>
  <c r="Z98" i="1"/>
  <c r="Z97" i="1"/>
  <c r="Z96" i="1"/>
  <c r="Z95" i="1"/>
  <c r="Z94" i="1"/>
  <c r="Z93" i="1"/>
  <c r="Z92" i="1"/>
  <c r="N91" i="1"/>
  <c r="Z91" i="1" s="1"/>
  <c r="N90" i="1"/>
  <c r="Z90" i="1" s="1"/>
  <c r="Z89" i="1"/>
  <c r="N88" i="1"/>
  <c r="Z88" i="1" s="1"/>
  <c r="N87" i="1"/>
  <c r="Z87" i="1" s="1"/>
  <c r="Z86" i="1"/>
  <c r="Z85" i="1"/>
  <c r="Z84" i="1"/>
  <c r="Z83" i="1"/>
  <c r="Z82" i="1"/>
  <c r="Z81" i="1"/>
  <c r="Z80" i="1"/>
  <c r="Z79" i="1"/>
  <c r="Z78" i="1"/>
  <c r="N77" i="1"/>
  <c r="Z77" i="1" s="1"/>
  <c r="Z76" i="1"/>
  <c r="Z75" i="1"/>
  <c r="Z74" i="1"/>
  <c r="Z73" i="1"/>
  <c r="Z72" i="1"/>
  <c r="Z71" i="1"/>
  <c r="Z70" i="1"/>
  <c r="Z69" i="1"/>
  <c r="Z68" i="1"/>
  <c r="Z67" i="1"/>
  <c r="Z66" i="1"/>
  <c r="Z65" i="1"/>
  <c r="Z64" i="1"/>
  <c r="Z63" i="1"/>
  <c r="Z62" i="1"/>
  <c r="Z61" i="1"/>
  <c r="Z59" i="1"/>
  <c r="N58" i="1"/>
  <c r="Z58" i="1" s="1"/>
  <c r="Z57" i="1"/>
  <c r="Z56" i="1"/>
  <c r="Z55" i="1"/>
  <c r="N54" i="1"/>
  <c r="Z54" i="1" s="1"/>
  <c r="Z53" i="1"/>
  <c r="N52" i="1"/>
  <c r="Z52" i="1" s="1"/>
  <c r="Z51" i="1"/>
  <c r="Z50" i="1"/>
  <c r="N49" i="1"/>
  <c r="Z49" i="1" s="1"/>
  <c r="Z48" i="1"/>
  <c r="N47" i="1"/>
  <c r="Z47" i="1" s="1"/>
  <c r="Z46" i="1"/>
  <c r="Z45" i="1"/>
  <c r="N44" i="1"/>
  <c r="Z44" i="1" s="1"/>
  <c r="N43" i="1"/>
  <c r="Z43" i="1" s="1"/>
  <c r="Z42" i="1"/>
  <c r="Z41" i="1"/>
  <c r="N40" i="1"/>
  <c r="Z40" i="1" s="1"/>
  <c r="Z39" i="1"/>
  <c r="N38" i="1"/>
  <c r="Z38" i="1" s="1"/>
  <c r="N37" i="1"/>
  <c r="Z37" i="1" s="1"/>
  <c r="Z36" i="1"/>
  <c r="Z35" i="1"/>
  <c r="N34" i="1"/>
  <c r="Z34" i="1" s="1"/>
  <c r="Z33" i="1"/>
  <c r="Z32" i="1"/>
  <c r="Z31" i="1"/>
  <c r="Z30" i="1"/>
  <c r="Z29" i="1"/>
  <c r="Z28" i="1"/>
  <c r="Z27" i="1"/>
  <c r="Z26" i="1"/>
  <c r="Z25" i="1"/>
  <c r="Z22" i="1"/>
  <c r="Z21" i="1"/>
  <c r="Z20" i="1"/>
  <c r="N19" i="1"/>
  <c r="Z19" i="1" s="1"/>
  <c r="Z18" i="1"/>
  <c r="N17" i="1"/>
  <c r="Z17" i="1" s="1"/>
  <c r="N16" i="1"/>
  <c r="Z16" i="1" s="1"/>
  <c r="Z15" i="1"/>
  <c r="Z14" i="1"/>
  <c r="N13" i="1"/>
  <c r="Z13" i="1" s="1"/>
  <c r="Z12" i="1"/>
  <c r="N11" i="1"/>
  <c r="Z11" i="1" s="1"/>
  <c r="Z10" i="1"/>
  <c r="N9" i="1"/>
  <c r="Z9" i="1" s="1"/>
  <c r="N8" i="1"/>
  <c r="Z8" i="1" s="1"/>
  <c r="N7" i="1"/>
  <c r="Z7" i="1" s="1"/>
  <c r="Z5" i="1"/>
  <c r="N4" i="1"/>
  <c r="Z4" i="1" s="1"/>
  <c r="X2" i="1"/>
  <c r="Q2" i="1"/>
  <c r="F11" i="5"/>
  <c r="E11" i="5"/>
  <c r="I529" i="1"/>
  <c r="I530" i="1"/>
  <c r="I531" i="1"/>
  <c r="I532" i="1"/>
  <c r="I533" i="1"/>
  <c r="I534" i="1"/>
  <c r="I535" i="1"/>
  <c r="I536" i="1"/>
  <c r="I537" i="1"/>
  <c r="I538" i="1"/>
  <c r="I539" i="1"/>
  <c r="I540" i="1"/>
  <c r="I541"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K762" i="1"/>
  <c r="K761" i="1"/>
  <c r="K760" i="1"/>
  <c r="K759" i="1"/>
  <c r="K758" i="1"/>
  <c r="K757" i="1"/>
  <c r="K756" i="1"/>
  <c r="K755"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1" i="1"/>
  <c r="K540" i="1"/>
  <c r="K539" i="1"/>
  <c r="K538" i="1"/>
  <c r="K537" i="1"/>
  <c r="K536" i="1"/>
  <c r="K535" i="1"/>
  <c r="K534" i="1"/>
  <c r="K533" i="1"/>
  <c r="K532" i="1"/>
  <c r="K531" i="1"/>
  <c r="K530" i="1"/>
  <c r="K529" i="1"/>
  <c r="K528" i="1"/>
  <c r="K527" i="1"/>
  <c r="K526" i="1"/>
  <c r="K522" i="1"/>
  <c r="K516" i="1"/>
  <c r="G530" i="1"/>
  <c r="G531" i="1"/>
  <c r="G532" i="1"/>
  <c r="G533" i="1"/>
  <c r="G534" i="1"/>
  <c r="G535" i="1"/>
  <c r="G536" i="1"/>
  <c r="G537" i="1"/>
  <c r="G538" i="1"/>
  <c r="G539" i="1"/>
  <c r="G540" i="1"/>
  <c r="G541"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K113" i="7"/>
  <c r="K114" i="7"/>
  <c r="K97" i="7"/>
  <c r="K98" i="7"/>
  <c r="K99" i="7"/>
  <c r="K100" i="7"/>
  <c r="K101" i="7"/>
  <c r="K102" i="7"/>
  <c r="K103" i="7"/>
  <c r="K104" i="7"/>
  <c r="K105" i="7"/>
  <c r="K106" i="7"/>
  <c r="K107" i="7"/>
  <c r="K108" i="7"/>
  <c r="K109" i="7"/>
  <c r="K110" i="7"/>
  <c r="K111" i="7"/>
  <c r="K112" i="7"/>
  <c r="K80" i="7"/>
  <c r="K81" i="7"/>
  <c r="K82" i="7"/>
  <c r="K83" i="7"/>
  <c r="K84" i="7"/>
  <c r="K85" i="7"/>
  <c r="K86" i="7"/>
  <c r="K87" i="7"/>
  <c r="K88" i="7"/>
  <c r="K89" i="7"/>
  <c r="K90" i="7"/>
  <c r="K91" i="7"/>
  <c r="K92" i="7"/>
  <c r="K93" i="7"/>
  <c r="K94" i="7"/>
  <c r="K95" i="7"/>
  <c r="K96" i="7"/>
  <c r="K70" i="7"/>
  <c r="K71" i="7"/>
  <c r="K72" i="7"/>
  <c r="K73" i="7"/>
  <c r="K74" i="7"/>
  <c r="K75" i="7"/>
  <c r="K76" i="7"/>
  <c r="K77" i="7"/>
  <c r="K78" i="7"/>
  <c r="K79" i="7"/>
  <c r="K53" i="7"/>
  <c r="K54" i="7"/>
  <c r="K55" i="7"/>
  <c r="K56" i="7"/>
  <c r="K57" i="7"/>
  <c r="K58" i="7"/>
  <c r="K59" i="7"/>
  <c r="K60" i="7"/>
  <c r="K61" i="7"/>
  <c r="K62" i="7"/>
  <c r="K63" i="7"/>
  <c r="K64" i="7"/>
  <c r="K65" i="7"/>
  <c r="K66" i="7"/>
  <c r="K67" i="7"/>
  <c r="K68" i="7"/>
  <c r="K69" i="7"/>
  <c r="K31" i="7"/>
  <c r="K32" i="7"/>
  <c r="K33" i="7"/>
  <c r="K34" i="7"/>
  <c r="K35" i="7"/>
  <c r="K36" i="7"/>
  <c r="K37" i="7"/>
  <c r="K38" i="7"/>
  <c r="K39" i="7"/>
  <c r="K40" i="7"/>
  <c r="K41" i="7"/>
  <c r="K42" i="7"/>
  <c r="K43" i="7"/>
  <c r="K44" i="7"/>
  <c r="K45" i="7"/>
  <c r="K46" i="7"/>
  <c r="K47" i="7"/>
  <c r="K48" i="7"/>
  <c r="K49" i="7"/>
  <c r="K50" i="7"/>
  <c r="K51" i="7"/>
  <c r="K52" i="7"/>
  <c r="K19" i="7"/>
  <c r="K20" i="7"/>
  <c r="K21" i="7"/>
  <c r="K22" i="7"/>
  <c r="K23" i="7"/>
  <c r="K24" i="7"/>
  <c r="K25" i="7"/>
  <c r="K26" i="7"/>
  <c r="K27" i="7"/>
  <c r="K28" i="7"/>
  <c r="K29" i="7"/>
  <c r="K30" i="7"/>
  <c r="K4" i="7"/>
  <c r="K5" i="7"/>
  <c r="K6" i="7"/>
  <c r="K7" i="7"/>
  <c r="K8" i="7"/>
  <c r="K9" i="7"/>
  <c r="K10" i="7"/>
  <c r="K11" i="7"/>
  <c r="K12" i="7"/>
  <c r="K13" i="7"/>
  <c r="K14" i="7"/>
  <c r="K15" i="7"/>
  <c r="K16" i="7"/>
  <c r="K17" i="7"/>
  <c r="K18" i="7"/>
  <c r="K3" i="7"/>
  <c r="K2" i="7"/>
  <c r="C5" i="7"/>
  <c r="C4" i="7"/>
  <c r="C3" i="7"/>
  <c r="C2" i="7"/>
  <c r="HN3" i="6"/>
  <c r="AA302" i="1"/>
  <c r="AA303" i="1"/>
  <c r="O2" i="1"/>
  <c r="D11" i="5" s="1"/>
  <c r="D7" i="5" s="1"/>
  <c r="D4" i="5" s="1"/>
  <c r="D10" i="5"/>
  <c r="C10" i="5"/>
  <c r="E10" i="5"/>
  <c r="F10" i="5"/>
  <c r="B10" i="5"/>
  <c r="B6" i="5"/>
  <c r="C6" i="5"/>
  <c r="D6" i="5"/>
  <c r="E6" i="5"/>
  <c r="F6" i="5"/>
  <c r="F5" i="5"/>
  <c r="E5" i="5"/>
  <c r="D5" i="5"/>
  <c r="C5" i="5"/>
  <c r="B5" i="5"/>
  <c r="F7" i="5"/>
  <c r="F4" i="5" s="1"/>
  <c r="E7" i="5"/>
  <c r="E4" i="5" s="1"/>
  <c r="R2" i="4"/>
  <c r="J2" i="4"/>
  <c r="H3" i="4"/>
  <c r="G3" i="4"/>
  <c r="F3" i="4"/>
  <c r="H2" i="4"/>
  <c r="G2" i="4"/>
  <c r="F2" i="4"/>
  <c r="E2" i="4"/>
  <c r="J2" i="3"/>
  <c r="R2" i="3"/>
  <c r="H2" i="3"/>
  <c r="G2" i="3"/>
  <c r="F2" i="3"/>
  <c r="E2" i="3"/>
  <c r="G76" i="8" l="1"/>
  <c r="G84" i="8"/>
  <c r="G53" i="8"/>
  <c r="O3" i="1"/>
  <c r="B11" i="5"/>
  <c r="N2" i="1"/>
  <c r="Z2" i="1"/>
  <c r="Z3" i="1" s="1"/>
  <c r="B7" i="5"/>
  <c r="B4" i="5" s="1"/>
  <c r="C6" i="9" l="1"/>
  <c r="C2" i="9" s="1"/>
  <c r="B6" i="9"/>
  <c r="B2" i="9" s="1"/>
  <c r="K543" i="1"/>
  <c r="I542" i="1"/>
  <c r="G542" i="1"/>
  <c r="H2" i="1"/>
  <c r="J2" i="1"/>
  <c r="H3" i="1"/>
  <c r="J3" i="1"/>
  <c r="C11" i="5"/>
  <c r="C7" i="5" s="1"/>
  <c r="C4" i="5" s="1"/>
  <c r="G51" i="8"/>
  <c r="G52" i="8"/>
  <c r="G54" i="8"/>
  <c r="G55" i="8"/>
  <c r="G56" i="8"/>
  <c r="G57" i="8"/>
  <c r="G58" i="8"/>
  <c r="G59" i="8"/>
  <c r="G60" i="8"/>
  <c r="G61" i="8"/>
  <c r="G62" i="8"/>
  <c r="G63" i="8"/>
  <c r="G64" i="8"/>
  <c r="G65" i="8"/>
  <c r="G66" i="8"/>
  <c r="G67" i="8"/>
  <c r="G68" i="8"/>
  <c r="G69" i="8"/>
  <c r="G70" i="8"/>
  <c r="G71" i="8"/>
  <c r="G72" i="8"/>
  <c r="G73" i="8"/>
  <c r="G74" i="8"/>
  <c r="G75" i="8"/>
  <c r="G77" i="8"/>
  <c r="G78" i="8"/>
  <c r="G79" i="8"/>
  <c r="G82" i="8"/>
  <c r="G86" i="8"/>
  <c r="G87" i="8"/>
  <c r="G88" i="8"/>
  <c r="G89" i="8"/>
  <c r="G91" i="8"/>
  <c r="G92" i="8"/>
  <c r="G96" i="8"/>
  <c r="G97" i="8"/>
  <c r="G100" i="8"/>
  <c r="G101" i="8"/>
  <c r="G102" i="8"/>
  <c r="G105" i="8"/>
  <c r="G108" i="8"/>
  <c r="G113" i="8"/>
  <c r="K421" i="1"/>
  <c r="G424" i="1"/>
  <c r="I424" i="1"/>
  <c r="K424" i="1"/>
  <c r="G425" i="1"/>
  <c r="I425" i="1"/>
  <c r="K425" i="1"/>
  <c r="G426" i="1"/>
  <c r="I426" i="1"/>
  <c r="K426" i="1"/>
  <c r="I427" i="1"/>
  <c r="K427" i="1"/>
  <c r="G428" i="1"/>
  <c r="I428" i="1"/>
  <c r="K428" i="1"/>
  <c r="G429" i="1"/>
  <c r="I429" i="1"/>
  <c r="K429" i="1"/>
  <c r="G430" i="1"/>
  <c r="I430" i="1"/>
  <c r="K430" i="1"/>
  <c r="G431" i="1"/>
  <c r="I431" i="1"/>
  <c r="K431" i="1"/>
  <c r="G432" i="1"/>
  <c r="K432" i="1"/>
  <c r="G433" i="1"/>
  <c r="I433" i="1"/>
  <c r="K433" i="1"/>
  <c r="G434" i="1"/>
  <c r="I434" i="1"/>
  <c r="K434" i="1"/>
  <c r="G435" i="1"/>
  <c r="I435" i="1"/>
  <c r="K435" i="1"/>
  <c r="K436" i="1"/>
  <c r="G437" i="1"/>
  <c r="I437" i="1"/>
  <c r="K437" i="1"/>
  <c r="G438" i="1"/>
  <c r="K438" i="1"/>
  <c r="G439" i="1"/>
  <c r="I439" i="1"/>
  <c r="K439" i="1"/>
  <c r="I440" i="1"/>
  <c r="K440" i="1"/>
  <c r="G441" i="1"/>
  <c r="I441" i="1"/>
  <c r="K441" i="1"/>
  <c r="G442" i="1"/>
  <c r="K442" i="1"/>
  <c r="G443" i="1"/>
  <c r="K443" i="1"/>
  <c r="G444" i="1"/>
  <c r="K444" i="1"/>
  <c r="G445" i="1"/>
  <c r="K445" i="1"/>
  <c r="I446" i="1"/>
  <c r="K446" i="1"/>
  <c r="G447" i="1"/>
  <c r="I447" i="1"/>
  <c r="K447" i="1"/>
  <c r="G448" i="1"/>
  <c r="K448" i="1"/>
  <c r="G449" i="1"/>
  <c r="I449" i="1"/>
  <c r="K449" i="1"/>
  <c r="G450" i="1"/>
  <c r="I450" i="1"/>
  <c r="K450" i="1"/>
  <c r="I451" i="1"/>
  <c r="K451" i="1"/>
  <c r="G452" i="1"/>
  <c r="I452" i="1"/>
  <c r="K452" i="1"/>
  <c r="I453" i="1"/>
  <c r="K453" i="1"/>
  <c r="G454" i="1"/>
  <c r="I454" i="1"/>
  <c r="K454" i="1"/>
  <c r="K455" i="1"/>
  <c r="G456" i="1"/>
  <c r="I456" i="1"/>
  <c r="K456" i="1"/>
  <c r="B457" i="1"/>
  <c r="G457" i="1"/>
  <c r="I457" i="1"/>
  <c r="K457" i="1"/>
  <c r="B458" i="1"/>
  <c r="G458" i="1"/>
  <c r="K458" i="1"/>
  <c r="B459" i="1"/>
  <c r="G459" i="1"/>
  <c r="K459" i="1"/>
  <c r="B460" i="1"/>
  <c r="G460" i="1"/>
  <c r="I460" i="1"/>
  <c r="K460" i="1"/>
  <c r="B461" i="1"/>
  <c r="G461" i="1"/>
  <c r="I461" i="1"/>
  <c r="K461" i="1"/>
  <c r="B462" i="1"/>
  <c r="G462" i="1"/>
  <c r="I462" i="1"/>
  <c r="K462" i="1"/>
  <c r="B463" i="1"/>
  <c r="G463" i="1"/>
  <c r="I463" i="1"/>
  <c r="K463" i="1"/>
  <c r="G464" i="1"/>
  <c r="I464" i="1"/>
  <c r="K464" i="1"/>
  <c r="G465" i="1"/>
  <c r="I465" i="1"/>
  <c r="K465" i="1"/>
  <c r="B466" i="1"/>
  <c r="G466" i="1"/>
  <c r="K466" i="1"/>
  <c r="B467" i="1"/>
  <c r="I467" i="1"/>
  <c r="K467" i="1"/>
  <c r="B468" i="1"/>
  <c r="K468" i="1"/>
  <c r="G469" i="1"/>
  <c r="I469" i="1"/>
  <c r="K469" i="1"/>
  <c r="G470" i="1"/>
  <c r="I470" i="1"/>
  <c r="K470" i="1"/>
  <c r="B471" i="1"/>
  <c r="I471" i="1"/>
  <c r="K471" i="1"/>
  <c r="G472" i="1"/>
  <c r="K472" i="1"/>
  <c r="B473" i="1"/>
  <c r="G473" i="1"/>
  <c r="I473" i="1"/>
  <c r="K473" i="1"/>
  <c r="B474" i="1"/>
  <c r="G474" i="1"/>
  <c r="K474" i="1"/>
  <c r="B475" i="1"/>
  <c r="G475" i="1"/>
  <c r="I475" i="1"/>
  <c r="K475" i="1"/>
  <c r="B476" i="1"/>
  <c r="G476" i="1"/>
  <c r="K476" i="1"/>
  <c r="B477" i="1"/>
  <c r="K477" i="1"/>
  <c r="B478" i="1"/>
  <c r="G478" i="1"/>
  <c r="K478" i="1"/>
  <c r="B479" i="1"/>
  <c r="I479" i="1"/>
  <c r="K479" i="1"/>
  <c r="B480" i="1"/>
  <c r="G480" i="1"/>
  <c r="I480" i="1"/>
  <c r="K480" i="1"/>
  <c r="B481" i="1"/>
  <c r="G481" i="1"/>
  <c r="I481" i="1"/>
  <c r="K481" i="1"/>
  <c r="B482" i="1"/>
  <c r="G482" i="1"/>
  <c r="I482" i="1"/>
  <c r="K482" i="1"/>
  <c r="B483" i="1"/>
  <c r="G483" i="1"/>
  <c r="K483" i="1"/>
  <c r="B484" i="1"/>
  <c r="G484" i="1"/>
  <c r="I484" i="1"/>
  <c r="K484" i="1"/>
  <c r="B485" i="1"/>
  <c r="G485" i="1"/>
  <c r="I485" i="1"/>
  <c r="K485" i="1"/>
  <c r="G486" i="1"/>
  <c r="I486" i="1"/>
  <c r="K486" i="1"/>
  <c r="B487" i="1"/>
  <c r="K487" i="1"/>
  <c r="B488" i="1"/>
  <c r="G488" i="1"/>
  <c r="I488" i="1"/>
  <c r="K488" i="1"/>
  <c r="B489" i="1"/>
  <c r="G489" i="1"/>
  <c r="I489" i="1"/>
  <c r="K489" i="1"/>
  <c r="B490" i="1"/>
  <c r="G490" i="1"/>
  <c r="K490" i="1"/>
  <c r="B491" i="1"/>
  <c r="G491" i="1"/>
  <c r="K491" i="1"/>
  <c r="B492" i="1"/>
  <c r="G492" i="1"/>
  <c r="K492" i="1"/>
  <c r="B493" i="1"/>
  <c r="G493" i="1"/>
  <c r="I493" i="1"/>
  <c r="K493" i="1"/>
  <c r="B494" i="1"/>
  <c r="K494" i="1"/>
  <c r="G495" i="1"/>
  <c r="I495" i="1"/>
  <c r="K495" i="1"/>
  <c r="B496" i="1"/>
  <c r="G496" i="1"/>
  <c r="K496" i="1"/>
  <c r="B497" i="1"/>
  <c r="G497" i="1"/>
  <c r="I497" i="1"/>
  <c r="K497" i="1"/>
  <c r="B498" i="1"/>
  <c r="G498" i="1"/>
  <c r="I498" i="1"/>
  <c r="K498" i="1"/>
  <c r="B499" i="1"/>
  <c r="K499" i="1"/>
  <c r="G500" i="1"/>
  <c r="I500" i="1"/>
  <c r="K500" i="1"/>
  <c r="B501" i="1"/>
  <c r="I501" i="1"/>
  <c r="K501" i="1"/>
  <c r="B502" i="1"/>
  <c r="G502" i="1"/>
  <c r="I502" i="1"/>
  <c r="K502" i="1"/>
  <c r="B503" i="1"/>
  <c r="G503" i="1"/>
  <c r="I503" i="1"/>
  <c r="K503" i="1"/>
  <c r="B504" i="1"/>
  <c r="G504" i="1"/>
  <c r="I504" i="1"/>
  <c r="K504" i="1"/>
  <c r="B505" i="1"/>
  <c r="G505" i="1"/>
  <c r="I505" i="1"/>
  <c r="K505" i="1"/>
  <c r="B506" i="1"/>
  <c r="G506" i="1"/>
  <c r="I506" i="1"/>
  <c r="K506" i="1"/>
  <c r="B507" i="1"/>
  <c r="G507" i="1"/>
  <c r="I507" i="1"/>
  <c r="K507" i="1"/>
  <c r="B508" i="1"/>
  <c r="G508" i="1"/>
  <c r="I508" i="1"/>
  <c r="K508" i="1"/>
  <c r="K509" i="1"/>
  <c r="B510" i="1"/>
  <c r="G510" i="1"/>
  <c r="I510" i="1"/>
  <c r="K510" i="1"/>
  <c r="B511" i="1"/>
  <c r="I511" i="1"/>
  <c r="G512" i="1"/>
  <c r="I512" i="1"/>
  <c r="K512" i="1"/>
  <c r="B513" i="1"/>
  <c r="I513" i="1"/>
  <c r="K513" i="1"/>
  <c r="B514" i="1"/>
  <c r="I514" i="1"/>
  <c r="K514" i="1"/>
  <c r="B515" i="1"/>
  <c r="I515" i="1"/>
  <c r="K515" i="1"/>
  <c r="B516" i="1"/>
  <c r="G516" i="1"/>
  <c r="I516" i="1"/>
  <c r="I517" i="1"/>
  <c r="K517" i="1"/>
  <c r="B518" i="1"/>
  <c r="G518" i="1"/>
  <c r="I518" i="1"/>
  <c r="K518" i="1"/>
  <c r="B519" i="1"/>
  <c r="G519" i="1"/>
  <c r="I519" i="1"/>
  <c r="K519" i="1"/>
  <c r="B520" i="1"/>
  <c r="G520" i="1"/>
  <c r="K520" i="1"/>
  <c r="B521" i="1"/>
  <c r="G521" i="1"/>
  <c r="I521" i="1"/>
  <c r="K521" i="1"/>
  <c r="B522" i="1"/>
  <c r="G522" i="1"/>
  <c r="I522" i="1"/>
  <c r="B523" i="1"/>
  <c r="I523" i="1"/>
  <c r="K523" i="1"/>
  <c r="K524" i="1"/>
  <c r="I525" i="1"/>
  <c r="K525" i="1"/>
  <c r="G526" i="1"/>
  <c r="I526" i="1"/>
  <c r="B527" i="1"/>
  <c r="G527" i="1"/>
  <c r="I527" i="1"/>
  <c r="B528" i="1"/>
  <c r="G528" i="1"/>
  <c r="I528" i="1"/>
  <c r="B529" i="1"/>
  <c r="G5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tc={6E0C7E67-2473-4E47-90D5-CCFCFEC82879}</author>
    <author>tc={74AA9A73-C1F3-46E1-BB90-47DB0ED6A758}</author>
    <author>tc={5D93EE67-F337-4813-8477-37BA1F83EF8C}</author>
    <author>tc={BC5F9141-4CB4-4128-BCCA-7F5A55AA8A72}</author>
    <author>tc={BD1D641A-9440-4632-892D-B4814535CE75}</author>
    <author>tc={762B69CA-110A-4B81-80AA-391E96870233}</author>
  </authors>
  <commentList>
    <comment ref="F3" authorId="0" shapeId="0" xr:uid="{6E0C7E67-2473-4E47-90D5-CCFCFEC8287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@Nguyễn Thị Phương @Nguyễn Kim Thủy </t>
      </text>
    </comment>
    <comment ref="F4" authorId="1" shapeId="0" xr:uid="{74AA9A73-C1F3-46E1-BB90-47DB0ED6A75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@Nguyễn Thị Phương </t>
      </text>
    </comment>
    <comment ref="D123" authorId="2" shapeId="0" xr:uid="{5D93EE67-F337-4813-8477-37BA1F83EF8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@phuong.nguyenthi@genestory.ai
Reply:
    @Nguyễn Thị Phương 
Reply:
    Em bổ sung rerun r ạ</t>
      </text>
    </comment>
    <comment ref="D125" authorId="3" shapeId="0" xr:uid="{BC5F9141-4CB4-4128-BCCA-7F5A55AA8A72}">
      <text>
        <t xml:space="preserve">[Threaded comment]
Your version of Excel allows you to read this threaded comment; however, any edits to it will get removed if the file is opened in a newer version of Excel. Learn more: https://go.microsoft.com/fwlink/?linkid=870924
Comment:
    @Ms. Nguyễn Ngọc Nam </t>
      </text>
    </comment>
    <comment ref="B126" authorId="4" shapeId="0" xr:uid="{BD1D641A-9440-4632-892D-B4814535CE75}">
      <text>
        <t xml:space="preserve">[Threaded comment]
Your version of Excel allows you to read this threaded comment; however, any edits to it will get removed if the file is opened in a newer version of Excel. Learn more: https://go.microsoft.com/fwlink/?linkid=870924
Comment:
    @Ms. Nguyễn Ngọc Nam </t>
      </text>
    </comment>
    <comment ref="B127" authorId="5" shapeId="0" xr:uid="{762B69CA-110A-4B81-80AA-391E96870233}">
      <text>
        <t xml:space="preserve">[Threaded comment]
Your version of Excel allows you to read this threaded comment; however, any edits to it will get removed if the file is opened in a newer version of Excel. Learn more: https://go.microsoft.com/fwlink/?linkid=870924
Comment:
    @Ms. Nguyễn Ngọc Nam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tc={03E2FBFC-8148-4ABD-A13E-5B95681AEF0D}</author>
    <author>tc={B4A19728-8C7F-4ABD-836E-5F7828C9F416}</author>
    <author>tc={A29BBC94-D3D3-4353-80CC-6FD91BC12618}</author>
    <author>tc={9E0D97EE-DD47-4D53-A9CB-2668403FAE87}</author>
    <author>Nguyễn Kim Thủy</author>
  </authors>
  <commentList>
    <comment ref="A241" authorId="0" shapeId="0" xr:uid="{03E2FBFC-8148-4ABD-A13E-5B95681AEF0D}">
      <text>
        <t>[Threaded comment]
Your version of Excel allows you to read this threaded comment; however, any edits to it will get removed if the file is opened in a newer version of Excel. Learn more: https://go.microsoft.com/fwlink/?linkid=870924
Comment:
    tạm hoãn do vấn đề về LID (updated 15/10/2025) --&gt; nhận data mới ngày 17/10/2025</t>
      </text>
    </comment>
    <comment ref="A242" authorId="1" shapeId="0" xr:uid="{B4A19728-8C7F-4ABD-836E-5F7828C9F416}">
      <text>
        <t>[Threaded comment]
Your version of Excel allows you to read this threaded comment; however, any edits to it will get removed if the file is opened in a newer version of Excel. Learn more: https://go.microsoft.com/fwlink/?linkid=870924
Comment:
    tạm hoãn do vấn đề về LID (updated 15/10/2025) --&gt; nhận data mới ngày 17/10/2025</t>
      </text>
    </comment>
    <comment ref="A440" authorId="2" shapeId="0" xr:uid="{A29BBC94-D3D3-4353-80CC-6FD91BC12618}">
      <text>
        <t>[Threaded comment]
Your version of Excel allows you to read this threaded comment; however, any edits to it will get removed if the file is opened in a newer version of Excel. Learn more: https://go.microsoft.com/fwlink/?linkid=870924
Comment:
    Hoãn, lab chạy lại 1R
Lab update 1R tối ngày 13/3/2026</t>
      </text>
    </comment>
    <comment ref="A441" authorId="3" shapeId="0" xr:uid="{9E0D97EE-DD47-4D53-A9CB-2668403FAE87}">
      <text>
        <t>[Threaded comment]
Your version of Excel allows you to read this threaded comment; however, any edits to it will get removed if the file is opened in a newer version of Excel. Learn more: https://go.microsoft.com/fwlink/?linkid=870924
Comment:
    chạy bằng pipeline V2.1 260313</t>
      </text>
    </comment>
    <comment ref="A516" authorId="4" shapeId="0" xr:uid="{99BCA463-FF32-4BFA-9C34-646FAD72F5CB}">
      <text>
        <r>
          <rPr>
            <sz val="11"/>
            <color theme="1"/>
            <rFont val="Aptos Narrow"/>
            <family val="2"/>
            <scheme val="minor"/>
          </rPr>
          <t xml:space="preserve">Nguyễn Kim Thủy: 1R có 5 trình tự bị lỗi, LAB đang chạy lại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tc={D2ECDD2D-B60F-4DC2-BDDD-07180A604FF2}</author>
  </authors>
  <commentList>
    <comment ref="IR5" authorId="0" shapeId="0" xr:uid="{D2ECDD2D-B60F-4DC2-BDDD-07180A604FF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75 mẫu chứ nhỉ @Nguyễn Kim Thủy </t>
      </text>
    </comment>
  </commentList>
</comments>
</file>

<file path=xl/sharedStrings.xml><?xml version="1.0" encoding="utf-8"?>
<sst xmlns="http://schemas.openxmlformats.org/spreadsheetml/2006/main" count="5792" uniqueCount="1245">
  <si>
    <t>No</t>
  </si>
  <si>
    <t>Batch</t>
  </si>
  <si>
    <t>Issues</t>
  </si>
  <si>
    <t>Tình trạng</t>
  </si>
  <si>
    <t>File Link</t>
  </si>
  <si>
    <t>Ghi chú</t>
  </si>
  <si>
    <t>Review Finish</t>
  </si>
  <si>
    <t>MS_170126_001</t>
  </si>
  <si>
    <t>Xuất lại file:
LN_25_AA1259	16182.1C -&gt; 16183C 16184A
Rerun:
LN_25_AA1176	2F dyeblob	-&gt; PCR-BD 2F
LN_25_AA1198	2F dyeblob	-&gt; PCR-BD 2F
LN_25_AA1199	2F dyeblob	-&gt; PCR-BD 2F
LN_25_AA1207	2F dyeblob, 3R nền cao (polyAC)	-&gt; PCR-BD 2F, 3F, R389</t>
  </si>
  <si>
    <t>Đã phê duyệt</t>
  </si>
  <si>
    <t>MS_170126_001_P</t>
  </si>
  <si>
    <t>MS_190126_003</t>
  </si>
  <si>
    <t>Rerun:
LN_25_AA1630	3R polyC	-&gt; PCR-BD 3F, R389
LN_25_AA1672	3R polyC	-&gt; PCR-BD 3F, R389
LN_25_AA1691	3R lỗi định dạng	-&gt; PCR-BD 3F, R389
LN_25_AA1703	2F dyeblob, 3R lỗi định dạng, 1R peak shoulder	-&gt; PCR-BD 2F, 3F, R389, 1R
LN_25_AA1707	3R lỗi định dạng	-&gt; PCR-BD 3F, R389</t>
  </si>
  <si>
    <t>MS_190126_003_P</t>
  </si>
  <si>
    <t>Đã báo lab, lab xác nhận cần chạy lại 3 mẫu lỗi định dạng</t>
  </si>
  <si>
    <t>MS_210126_002</t>
  </si>
  <si>
    <t>Xuất lại file:
LN_25_AA1879	152Y
LN_25_AA1847	152Y
Rerun:
LN_25_AA1839	3R polyC	PCR-BD 3F, R389</t>
  </si>
  <si>
    <t>MS_210126_002_X_P</t>
  </si>
  <si>
    <t>Em cập nhật lại đúng folder rồi ạ</t>
  </si>
  <si>
    <t>MS_210126_001</t>
  </si>
  <si>
    <r>
      <rPr>
        <b/>
        <sz val="10"/>
        <color rgb="FFFF0000"/>
        <rFont val="Calibri"/>
        <family val="2"/>
      </rPr>
      <t xml:space="preserve">NTC2	1R có trình tự -&gt; blast ko ra hit
</t>
    </r>
    <r>
      <rPr>
        <sz val="10"/>
        <color rgb="FF000000"/>
        <rFont val="Calibri"/>
        <family val="2"/>
      </rPr>
      <t>Rerun:
LN_25_AA1771	3R polyC	PCR-BD 3F, R389
LN_25_AA1791	3R nền cao (polyAC)	PCR-BD 3F, R389</t>
    </r>
  </si>
  <si>
    <t>MS_210126_001_Q_P</t>
  </si>
  <si>
    <t>MS_210126_004</t>
  </si>
  <si>
    <t>Review:
LN_25_AA2054 (16193del) fullregion -&gt; 73-340 438-576 16024-16192 16194-16365
Đề xuất chạy lại:
LN_25_AA2017	3R polyC	PCR-BD 3F, R389</t>
  </si>
  <si>
    <t>MS_210126_004_X_H</t>
  </si>
  <si>
    <t>MS_220126_001</t>
  </si>
  <si>
    <t>Xuân review:
XUẤT LẠI FILE: 
LN_25_AA2116              -&gt; LN_25_AA2116-73-340 438-573 16024-16365
LN_25_AA2144 16093 C      -&gt; Y
LN_25_AA2074 352.1C       -&gt; 356.1C
Hùng review:
Xuất lại file:
LN_25_AA2106   152Y 234R 16092Y 
LN_25_AA2136   fullregion -&gt; 73-340 438-573 16024-16365
LN_25_AA2151   343N 345N -&gt;xóa
Đề xuất chạy lại:
LN_25_AA2100	  3R polyC	  PCR-BD 3F, R389
LN_25_AA2116	  3R polyC	  PCR-BD 3F, R389
LN_25_AA2155         3R polyC	  PCR-BD 3F, R389
LN_25_AA2160	  1R tín hiệu yếu	  PCR-BD 1R</t>
  </si>
  <si>
    <t>MS_220126_001_Q_H</t>
  </si>
  <si>
    <t>MS_210126_003</t>
  </si>
  <si>
    <t>Xuất lại file:
LN_25_AA1892 324C-&gt;N
Đề xuất chạy lại:
LN_25_AA1897	3R fail		PCR-BD 3F, R389
LN_25_AA1973	3R polyC	PCR-BD 3F</t>
  </si>
  <si>
    <t>MS_210126_003_X_H</t>
  </si>
  <si>
    <t xml:space="preserve">MS_260126_001 </t>
  </si>
  <si>
    <r>
      <rPr>
        <b/>
        <sz val="10"/>
        <color rgb="FFFF0000"/>
        <rFont val="Calibri"/>
      </rPr>
      <t xml:space="preserve">NTC1 có trình tự, BLAST không ra trình tự
</t>
    </r>
    <r>
      <rPr>
        <sz val="10"/>
        <color rgb="FF000000"/>
        <rFont val="Calibri"/>
      </rPr>
      <t>Xuất lại file:
LN_25_AA2258	312 C-&gt;T
Rerun:
LN_25_AA2255	3R polyC	-&gt; PCR-BD 3F, R389
LN_25_AA2266	3R nền cao (polyAC)	-&gt; PCR-BD 3F, R389
LN_25_AA2306	1F dyeblob	-&gt; PCR-BD 1F
LN_25_AA2333	3R nền cao	-&gt; PCR-BD 3F, R389</t>
    </r>
  </si>
  <si>
    <t>MS_260126_001_Q_P</t>
  </si>
  <si>
    <t>MS_220126_002</t>
  </si>
  <si>
    <t>XUÂN XUẤT LẠI FILE: 
LN_25_AA2238  XUẤT NHẦM FILE CỦA LN_25_AA2239 -&gt; XUẤT LẠI ĐÚNG FILE
Hùng review:
Xuất lại file:
LN_25_AA2170 306C -&gt; Y
LN_25_AA2226 16093C -&gt; Y
LN_25_AA2230 16129G -&gt; R
LN_25_AA2249 16189C -&gt; Y
Đề xuất chạy lại:
LN_25_AA2180 3R POLYC  -&gt; PCR-BD 3F</t>
  </si>
  <si>
    <t>MS_220126_002_X_H</t>
  </si>
  <si>
    <t>MS_260126_003</t>
  </si>
  <si>
    <r>
      <rPr>
        <b/>
        <sz val="10"/>
        <color rgb="FFFF0000"/>
        <rFont val="Calibri"/>
        <family val="2"/>
      </rPr>
      <t xml:space="preserve">Trình tự đầu 1F thấp
</t>
    </r>
    <r>
      <rPr>
        <sz val="10"/>
        <color rgb="FF000000"/>
        <rFont val="Calibri"/>
        <family val="2"/>
      </rPr>
      <t>Xuất lại vùng:
LN_25_AA2444	73-340 438-576 16037-16365
LN_25_AA2451	73-340 438-576 16037-16365
LN_25_AA2457	73-340 438-576 16037-16365
LN_25_AA2466	73-340 438-576 16037-16365
LN_25_AA2476	73-340 438-576 16037-16365
LN_25_AA2479	73-340 438-576 16037-16365
LN_25_AA2482	73-340 438-576 16037-16365
LN_25_AA2489	73-340 438-576 16037-16365
LN_25_AA2490	73-340 438-576 16037-16365
LN_25_AA2503	73-340 438-576 16037-16365
LN_25_AA2513	73-340 438-576 16037-16365
Rerun:
LN_25_AA2441	3R polyAC	PCR-BD 3F, R389
LN_25_AA2495	3R polyC	PCR-BD 3F</t>
    </r>
  </si>
  <si>
    <t>MS_260126_003_PX_P</t>
  </si>
  <si>
    <t>MS_260126_002</t>
  </si>
  <si>
    <t>Xuất lại file:
LN_25_AA2376	114 A-&gt;C
Rerun:
LN_25_AA2345	3R ngắn	-&gt; PCR-BD 3F, R389</t>
  </si>
  <si>
    <t>MS_260126_002_Q_P</t>
  </si>
  <si>
    <t>MS_260126_004</t>
  </si>
  <si>
    <t>Xuất lại file:
LN_25_AA2560-73-302 318-340 438-576 16024-16365, xuất lại vùng
Rerun:
LN_25_AA2527	3R polyC	-&gt; PCR-BD 3F, R389
LN_25_AA2596	3R nền cao	-&gt; PCR-BD 3F, R389</t>
  </si>
  <si>
    <t>MS_260126_004_PT_P</t>
  </si>
  <si>
    <t>MS_290126_001</t>
  </si>
  <si>
    <t>Xuất lại file:
LN_26_AA1079-73-302 322-340 438-576 16024-16365, xuất lại vùng
LN_26_AA1056	356.1C
LN_26_AA1064	16166DEL</t>
  </si>
  <si>
    <t>MS_290126_001_TX_P</t>
  </si>
  <si>
    <t>MS_290126_002</t>
  </si>
  <si>
    <t>Xuất lại file:
LN_26_AA1091-73-340 438-573 16024-16365, xuất lại vùng
Rerun:
LN_26_AA1143	3R polyC	PCR-BD 3F, R389</t>
  </si>
  <si>
    <t>MS_290126_002_Q_P</t>
  </si>
  <si>
    <t>Mẫu so sánh liên phòng PYQG</t>
  </si>
  <si>
    <t>2 mẫu này vẫn có đầy đủ 3 vùng, chỉ là tín hiệu nó ko đc đẹp
241753 3R ngắn
241754 3R tín hiệu kém</t>
  </si>
  <si>
    <t>PYQG</t>
  </si>
  <si>
    <t>MS_020226_001</t>
  </si>
  <si>
    <r>
      <rPr>
        <b/>
        <sz val="10"/>
        <color rgb="FFFF0000"/>
        <rFont val="Calibri"/>
        <family val="2"/>
      </rPr>
      <t xml:space="preserve">Đầu 2F (73-78) tín hiệu xấu
</t>
    </r>
    <r>
      <rPr>
        <sz val="10"/>
        <color rgb="FF000000"/>
        <rFont val="Calibri"/>
        <family val="2"/>
      </rPr>
      <t>Rerun:
LN_26_AA1424	1F dyeblob	PCR-BD 1F
LN_26_AA1425	2F nền cao, 3R polyC	PCR-BD F109, R285a, 3F, R389
LN_26_AA1426	2F nền cao, 3R polyC	PCR-BD F109, R285a, 3F, R389
LN_26_AA1437	3R polyC	PCR-BD 3F, R389</t>
    </r>
  </si>
  <si>
    <t>MS_020226_001_QTX_P</t>
  </si>
  <si>
    <t>MS_290126_004</t>
  </si>
  <si>
    <t>Rerun:
LN_26_AA1261	MS_290126_004	1R fail	PCR-BD 1R
LN_26_AA1263	MS_290126_004	2F peak spike	PCR-BD 2F
LN_26_AA1273	MS_290126_004	3R polyC	PCR-BD 3F, R389
LN_26_AA1313	MS_290126_004	3R nền cao	PCR-BD 3F, R389
LN_26_AA1331	MS_290126_004	3R dyeblob	PCR-BD 3R</t>
  </si>
  <si>
    <t>MS_290126_004_QX_P</t>
  </si>
  <si>
    <t>MS_290126_003</t>
  </si>
  <si>
    <t>Xuất lại file:
LN_26_AA1219	16362 T-&gt;Y
Rerun:
LN_26_AA1194	3R nền cao	PCR-BD 3F, R389
LN_26_AA1214	3R polyAC	PCR-BD 3F, R389
LN_26_AA1171	1F tín hiệu yếu	PCR-BD 1F
LN_26_AA1200	2F nền cao	PCR-BD F109, R285a</t>
  </si>
  <si>
    <t>MS_290126_003_QX_P</t>
  </si>
  <si>
    <t>MS_280126_002</t>
  </si>
  <si>
    <t>Xuất lại file:
LN_25_AA2734	518 A-&gt;C 519 C-&gt;A
Rerun:
LN_25_AA2721	3R ngắn	PCR-BD 3F, R389</t>
  </si>
  <si>
    <t>MS_280126_002_T_TP</t>
  </si>
  <si>
    <t>MS_280126_003</t>
  </si>
  <si>
    <t>Xuất lại file:
LN_25_AA2808	336T 337.1A -&gt; 335.1T
LN_25_AA2838	16183M
LN_25_AA2835	204 C-&gt;T
Rerun:
LN_25_AA2798	MS_280126_003	3R polyC	PCR-BD 3F, R389
LN_25_AA2821	MS_280126_003	3R nền cao	PCR-BD 3F
LN_25_AA2824	MS_280126_003	3R polyC	PCR-BD 3F, R389
LN_25_AA2831	MS_280126_003	3R polyC	PCR-BD 3F, R389
LN_25_AA2854	MS_280126_003	3R ngắn		PCR-BD 3F
LN_25_AA2862	MS_280126_003	3R polyC	PCR-BD 3F</t>
  </si>
  <si>
    <t>MS_280126_003_PQ_P</t>
  </si>
  <si>
    <t>MS_020226_002</t>
  </si>
  <si>
    <r>
      <rPr>
        <b/>
        <sz val="10"/>
        <color rgb="FFFF0000"/>
        <rFont val="Calibri"/>
        <family val="2"/>
      </rPr>
      <t xml:space="preserve">Trình tự cả mẻ đầu 2F (73-78) các peak xuất hiện hiện hượng nén, chồng lên nhau. Đã xuất lại các mẫu có trình tự đầu 2F chồng lên nhau
</t>
    </r>
    <r>
      <rPr>
        <sz val="10"/>
        <color rgb="FF000000"/>
        <rFont val="Calibri"/>
        <family val="2"/>
      </rPr>
      <t>Rerun:
LN_26_AA1553	MS_020226_002	3R polyC		PCR-BD 3F, R389
LN_26_AA1555	MS_020226_002	3R polyC (460 T-C)	PCR-BD 3F, R389
LN_26_AA1595	MS_020226_002	3R polyAC		PCR-BD 3F, R389
LN_26_AA1608	MS_020226_002	3R polyC (460 T-C)	PCR-BD 3F, R389</t>
    </r>
  </si>
  <si>
    <t>MS_020226_002_X_P</t>
  </si>
  <si>
    <t>MS_020226_003</t>
  </si>
  <si>
    <t>Rerun:
LN_26_AA1643	3R polyC		PCR-BD 3F, R389
LN_26_AA1667	2F nền cao, 3R nền cao	PCR-BD F109, R285a, 3F
LN_26_AA1703	2F polyC, 3R polyC	PCR-BD F109, R285a, 3F, R389</t>
  </si>
  <si>
    <t>MS_020226_003_QX_P</t>
  </si>
  <si>
    <t>MS_020226_004</t>
  </si>
  <si>
    <r>
      <rPr>
        <b/>
        <sz val="10"/>
        <color rgb="FFFF0000"/>
        <rFont val="Calibri"/>
        <family val="2"/>
      </rPr>
      <t xml:space="preserve">Tín hiệu đầu 2F (73-75) bị chồng lấn lên nhau, loại trừ khả năng heteroplasmy tại vị trí 230
</t>
    </r>
    <r>
      <rPr>
        <sz val="10"/>
        <color rgb="FF000000"/>
        <rFont val="Calibri"/>
        <family val="2"/>
      </rPr>
      <t>Xuất lại vùng:
LN_26_AA1785	16183Y
LN_26_AA1717	
LN_26_AA1784	320N
LN_26_AA1729
LN_26_AA1730
LN_26_AA1731
LN_26_AA1734	16093Y
LN_26_AA1739
LN_26_AA1745
LN_26_AA1750
LN_26_AA1754
LN_26_AA1763
LN_26_AA1775
LN_26_AA1780
LN_26_AA1789
LN_26_AA1740
Rerun:
LN_26_AA1756	2F nền cao, 3R polyC	PCR-BD F109, R285a, 3F, R389</t>
    </r>
  </si>
  <si>
    <t>MS_020226_004_QX_P</t>
  </si>
  <si>
    <t>Rerun_49_batches_260226</t>
  </si>
  <si>
    <t>Đã gửi file zip (260226)</t>
  </si>
  <si>
    <t>Chờ review 2</t>
  </si>
  <si>
    <t>Rerun-49-batches-260126</t>
  </si>
  <si>
    <t>MS_040226_004</t>
  </si>
  <si>
    <r>
      <rPr>
        <b/>
        <sz val="10"/>
        <color rgb="FFFF0000"/>
        <rFont val="Calibri"/>
      </rPr>
      <t xml:space="preserve">Đầu 2F (73-78) peak chồng lấn lên nhau, đầu 1F (16024-16032) tín hiệu yếu
</t>
    </r>
    <r>
      <rPr>
        <sz val="10"/>
        <color rgb="FF000000"/>
        <rFont val="Calibri"/>
      </rPr>
      <t>Xuất lại file:
LN_26_AA2008	75-340 438-576 16043-16365, xuất lại vùng
LN_26_AA2047	75-340 438-576 16044-16365, xuất lại vùng
LN_26_AA2060	73-340 438-576 16025-16365, xuất lại vùng</t>
    </r>
  </si>
  <si>
    <t>MS_040226_004_PT_P</t>
  </si>
  <si>
    <t>MS_070226_001</t>
  </si>
  <si>
    <r>
      <rPr>
        <b/>
        <sz val="10"/>
        <color rgb="FFFF0000"/>
        <rFont val="Calibri"/>
      </rPr>
      <t xml:space="preserve">Đầu 2F (73-78) peak chồng lấn lên nhau
</t>
    </r>
    <r>
      <rPr>
        <sz val="10"/>
        <color rgb="FF000000"/>
        <rFont val="Calibri"/>
      </rPr>
      <t>Xuất lại file: 
LN_26_AA2093	253A A-&gt; C
Xuất lại vùng (79-340 438-576 16024-16365) các file: 
LN_26_AA2074
LN_26_AA2075
LN_26_AA2090
LN_26_AA2095
LN_26_AA2100
LN_26_AA2107	16192 Y-&gt;T
LN_26_AA2122
LN_26_AA2137
LN_26_AA2142
LN_26_AA2144
LN_26_AA2158
LN_26_AA2159
Rerun:
LN_26_AA2138	3R ngắn		PCR-BD 3F, R389
LN_26_AA2151	3R nền cao	PCR-BD 3F, R389</t>
    </r>
  </si>
  <si>
    <t>MS_070226_001_QX_P</t>
  </si>
  <si>
    <t>MS_280126_001</t>
  </si>
  <si>
    <r>
      <t xml:space="preserve">Đầu 2F (73-78) peak chồng lấn lên nhau, đầu 1F (16024-16032) tín hiệu yếu
</t>
    </r>
    <r>
      <rPr>
        <sz val="10"/>
        <color rgb="FF000000"/>
        <rFont val="Calibri"/>
      </rPr>
      <t>Rerun:
LN_25_AA2660	2F dyeblob	PCR-BD 2F
LN_25_AA2665	3R polyC	PCR-BD 3F, R389
LN_25_AA2691	3R polyC	PCR-BD 3F, R389</t>
    </r>
  </si>
  <si>
    <t>MS_280126_001_TQ_P</t>
  </si>
  <si>
    <t>MS_040226_003</t>
  </si>
  <si>
    <r>
      <rPr>
        <b/>
        <sz val="10"/>
        <color rgb="FFFF0000"/>
        <rFont val="Calibri"/>
      </rPr>
      <t xml:space="preserve">Đầu 2F (73-78) peak chồng lấn lên nhau
</t>
    </r>
    <r>
      <rPr>
        <sz val="10"/>
        <color rgb="FF000000"/>
        <rFont val="Calibri"/>
      </rPr>
      <t>Xuất lại file:
LN_26_AA1968 xuất lại vùng
Xuất lại full region:
LN_26_AA1905
LN_26_AA1920	335del -&gt; 337del
LN_26_AA1952
LN_26_AA1967
Rerun:
LN_26_AA1901	2F fail, 3R fail	PCR-BD 2F, 3F, R389</t>
    </r>
  </si>
  <si>
    <t>MS_040226_003_PX_P</t>
  </si>
  <si>
    <t>MS_040226_002</t>
  </si>
  <si>
    <t>Review:
Đầu 2F tín hiệu chồng lấn
Một số mẫu 3R ngắn (vd: AA1885, AA1886)
Nhiều mẫu 3R ngắn (vd: AA1888, AA1804,...)
16057 ở 1 số mẫu có peak phụ G -&gt; lỗi kỹ thuật, không phải hetero (vd: AA1855, AA18162, AA1849)
xuất lại file:
LN_26_AA1835 496.1N
LN_26_AA1858 16297DEL -&gt; 16297C 16298DEL
LN_26_AA1862 FULLREGION -&gt; 79-340 438-576 16024-16365
Đề xuất chạy lại: 
LN_26_AA1824	3R polyC PCR-BD 3F, R389
LN_26_AA1885	3R ngắn	PCR-BD 3R
LN_26_AA1886	3R ngắn	PCR-BD 3F, R389</t>
  </si>
  <si>
    <t>MS_040226_002_HT</t>
  </si>
  <si>
    <t>MS_040226_001</t>
  </si>
  <si>
    <t>Quyên review:
Đầu 2F nhiễu
LN_26_AA1459	152Y không tin cậy, peakshoulder
LN_26_AA1514-73-302 16024-16365 3r nền cao sau polyC -&gt; 3F BD, R389
Xuất lại:
LN_26_AA1452 577C -&gt;xóa ngoài vùng
Hùng review:
Xuất lại file
LN_26_AA1459 152Y
LN_26_AA1468-79-340 438-576 16024-16365 =&gt; 76-340 438-576 16024-16365
LN_26_AA1510 miss 249DEL
Đề xuất chạy lại:
LN_26_AA1514	3R polyC	PCR-BD 3F, R389</t>
  </si>
  <si>
    <t>MS_040226_001_Q_H</t>
  </si>
  <si>
    <t>MS_260226_001</t>
  </si>
  <si>
    <r>
      <rPr>
        <b/>
        <sz val="10"/>
        <color rgb="FFFF0000"/>
        <rFont val="Calibri"/>
      </rPr>
      <t xml:space="preserve">Đầu 2F (73-78) tín hiệu chồng lấn
</t>
    </r>
    <r>
      <rPr>
        <sz val="10"/>
        <color rgb="FF000000"/>
        <rFont val="Calibri"/>
      </rPr>
      <t>Xuất lại file:
LN_26_AA0567	352.1C -&gt; 356.1C
LN_26_AA0568	16175R
LN_26_AA0606	79-302 316-340 438-576 16024-16365, xuất lại vùng
Xuất lại vùng (79-340 438-576 16024-16365):
LN_26_AA0554
LN_26_AA0559	16175R
LN_26_AA0577
LN_26_AA0590
LN_26_AA0621
Rerun:
LN_26_AA0560	3R polyC	PCR-BD 3F, R389</t>
    </r>
  </si>
  <si>
    <t>MS_260226_001_PT_P</t>
  </si>
  <si>
    <t>Đã viết báo cáo trên LIMS 2</t>
  </si>
  <si>
    <t>MS_070226_002</t>
  </si>
  <si>
    <t>Xuất lại file:
LN_26_AA2172 xóa 226N 227N
LN_26_AA2180 79-340 438-576 16024-16365 =&gt; fullregion
LN_26_AA2192 76-340 ... -&gt; 79-340 ...
LN_26_AA2195 fullregion =&gt; 79-340 438-576 16024-16365
LN_26_AA2199 227A -&gt; R
LN_26_AA2208 79-340 438-576 16024-16365 =&gt; 79-340 438-576 16024-16353
LN_26_AA2218 xóa 573.1 .2 .3 .4; miss 16192Y
Đề xuất chạy lại:
LN_26_AA2178	3R polyAC	PCR-BD 3F, R389
LN_26_AA2187	3R polyC	PCR-BD 3F</t>
  </si>
  <si>
    <t>MS_070226_002_QX_H</t>
  </si>
  <si>
    <t>MS_100226_002</t>
  </si>
  <si>
    <t>XUÂN XUẤT LẠI FILE: 
LN_26_AA2405  16311C -&gt; Y
Hùng review:
Đầu 2F tín hiệu chồng lấn
Đầu 1F tín hiệu kém
Đề xuất chạy lại:
LN_26_AA2371	3R polyC	PCR-BD 3F, R389
LN_26_AA2375	3R polyC	PCR-BD 3F, R389</t>
  </si>
  <si>
    <t>MS_100226_002_X_H</t>
  </si>
  <si>
    <t>MS_100226_003</t>
  </si>
  <si>
    <t>Quyên xuất lại:
LN_26_AA2449-79-340 438-573 16024-16365
Review:
1R peak shoulder nhẹ
2F tín hiệu chồng lấn
3R vùng HV2 tín hiệu yếu
Xuất lại file:
LN_26_AA2439 16190Y
LN_26_AA2475 16192Y
Đề xuất chạy lại: 
LN_26_AA2440	3R polyC	PCR-BD 3F, R389
LN_26_AA2510	3R polyC	PCR-BD 3F, R389</t>
  </si>
  <si>
    <t>MS_100226_003_Q_H</t>
  </si>
  <si>
    <t>MS_100226_001</t>
  </si>
  <si>
    <t>Xuân xuất lại file: 
LN_26_AA2273  16361DEL -&gt; 16361G
LN_26_AA2313  195T   -&gt; Y
LN_26_AA2334  16200T -&gt; N; 16203 A-&gt;N; 16204 A-&gt;N; 16205 G-&gt;N
LN_26_AA2316  16309G -&gt; R
xuất lại vùng: 
LN_26_AA2329-79-340 438-576 16024-16365
Hùng xuất lại file:
AA2269 79-340 438-576 16024-16365 -&gt; 79-340 438-455 464-576 16024-16365
AA2285 79-340 438-576 16024-16365 -&gt; 79-302 438-522 526-576 16024-16365
AA2287 16175 G -&gt; R
AA2332 16301Y -&gt; C
Đề xuất chạy lại:
LN_26_AA2276	3R polyC	PCR-BD 3F, R389
LN_26_AA2316	3R polyAC	PCR-BD 3F, R389
LN_26_AA2333	1F dyeblob, 16149W?	PCR-BD 1F
LN_26_AA2334	1R dyeblob	PCR-BD 1R</t>
  </si>
  <si>
    <t>MS_100226_001_QX_H</t>
  </si>
  <si>
    <t>MS_100226_004</t>
  </si>
  <si>
    <t xml:space="preserve">Thủy xuất lại file
LN_26_AA2545	459del
Hùng review:
Xuất lại file:
AA2566 16249Y, 79-340 438-576 16024-16365
AA2607 xóa 73G
Đề xuất chạy lại:
LN_26_AA2556	1R dyeblob	PCR-BD 1R
LN_26_AA2588	3R polyAC	PCR-BD 3F, R389
LN_26_AA2602	16189Y?	rePCR -&gt; PCR-BD 1F, 1R
</t>
  </si>
  <si>
    <t>MS_100226_004_T_H</t>
  </si>
  <si>
    <t>MS_250226_001</t>
  </si>
  <si>
    <t>Quyên xuất lại:
LN_26_AA2611 16093Y
LN_26_AA2643 16361DEL -&gt;G
Hùng review:
Đầu 2F tín hiệu chồng lấn
3R nhiễu nền nhẹ
xuất lại file:
AA2624 fullregion =&gt; 79-340 438-576 16024-16365
AA2650 16182M
AA2681 fullregion =&gt; 79-340 438-576 16038-16365
Đề xuất chạy lại:
LN_26_AA2698	3R polyC	PCR-BD 3F, R389</t>
  </si>
  <si>
    <t>MS_250226_001_Q_H</t>
  </si>
  <si>
    <t>MS_030326_003</t>
  </si>
  <si>
    <t>Xuân xuất lại vùng: 
LN_26_AA0641-73-340 438-573 16024-16365 -&gt; LN_26_AA0641-73-340 438-560 16024-16365
Hùng review:
1F trước 16084 có tín hiệu nền
Đầu 2F một số mẫu tín hiệu chồng lấn
xuất lại file:
LN_26_AA0718-79-340 438-576 16024-16365 =&gt; full region
Đề xuất chạy lại:
LN_26_AA0641	3R fail	PCR-BD 3R
LN_26_AA0644	1F nền cao, 3R nền cao trước AC repeat	PCR-BD 1F, 3F</t>
  </si>
  <si>
    <t>MS_030326_003_X_H</t>
  </si>
  <si>
    <t>MS_030326_004</t>
  </si>
  <si>
    <t>Thủy xuất lại file
LN_26_AA0760	302.1C -&gt; 309.1C
Đề xuất chạy lại:
LN_26_AA0798	16104M?	rePCR --&gt; PCR-BD 1F
LN_26_AA0799	73W?	PCR-BD R285a</t>
  </si>
  <si>
    <t>MS_030326_004_T_H</t>
  </si>
  <si>
    <t>MS_250226_002</t>
  </si>
  <si>
    <t>Xuân QC:
Xuất lại file: 
LN_26_AA2718 522DEL -&gt; 524DEL
Phương review:
Đề xuất chạy lại:
LN_26_AA2721	3R dyeblob	PCR-BD 3F
LN_26_AA2728	3R nền cao (polyAC)	PCR-BD 3F, R389</t>
  </si>
  <si>
    <t>MS_250226_002_X_P</t>
  </si>
  <si>
    <t>MS_280226_004</t>
  </si>
  <si>
    <t>Quyên xuất lại vùng:
LN_26_AA0322-79-340 438-576 16024-16365
-&gt; -79-302 315-340 438-576 16024-16365
Hùng review:
Xuất lại file:
LN_26_AA0312 fullregion -&gt; 79-340 438-576 16024-16365
LN_26_AA0322-79-302 315-340.... -&gt; 79-302 316-340
Đề xuất chạy lại:
LN_26_AA0326	3R polyC	PCR-BD 3F, R389
LN_26_AA0354	3R polyC	PCR-BD 3F, R389</t>
  </si>
  <si>
    <t>MS_280226_004_Q_H</t>
  </si>
  <si>
    <t>MS_250226_004</t>
  </si>
  <si>
    <t>LN_26_AA2885	1F peak shoulder
LN_26_AA2938	1F dyeblob nhẹ, 1R peak shoulder
Xuất lại file:
LN_26_AA2919	full region -&gt; 79-340 438-576 16024-16365
Đề xuất rerun:
LN_26_AA2891	2F peak shoulder	PCR-BD 2F
LN_26_AA2946	1F dyeblob	PCR-BD 1F
LN_26_AA2953	73A?, 1F dyeblob	PCR-BD R285a, 1F</t>
  </si>
  <si>
    <t>MS_250226_004_X_P</t>
  </si>
  <si>
    <t>MS_280226_001</t>
  </si>
  <si>
    <t>Thủy xuất lại file:
LN_26_AA0049 16189DEL -&gt; 16193DEL
LN_26_AA0065 16189DEL -&gt; 16193DEL
LN_26_AA0074 16189DEL -&gt; 16193DEL
Hùng xuất lại file:
LN_26_AA0066 fullregion -&gt; 79-340 438-576 16024-16365
LN_26_AA0078 16131Y
Đề xuất chạy lại:
LN_26_AA0071	1F, 1R nhiễm mẫu mức thấp	   rePCR --&gt; PCR-BD 1F, 1R
LN_26_AA0081	3R polyC        	PCR-BD 3F, R389</t>
  </si>
  <si>
    <t>MS_280226_001_T_H</t>
  </si>
  <si>
    <t>MS_250226_003</t>
  </si>
  <si>
    <t>NTC1 2F có trình tự - BLAST không có
Xuất lại file:
LN_26_AA2831 302.1C -&gt; 309.1C, 16298Y
LN_26_AA2865 16209Y -&gt; T
LN_26_AA2868 ... 322-340 ...
LN_26_AA2877-79-302 322-340 ...
Đề xuất chạy lại:
LN_26_AA2796	2F peak shoulder	PCR-BD 2F</t>
  </si>
  <si>
    <t>MS_250226_003_Q_H</t>
  </si>
  <si>
    <t>MS_030326_001</t>
  </si>
  <si>
    <t>Xuất lại file:
LN_26_AA0443	16093Y
Xuất lại full region:
LN_26_AA0408
LN_26_AA0421
LN_26_AA0427
LN_26_AA0429
LN_26_AA0431
LN_26_AA0437
Đề xuất rerun:
LN_26_AA0389	73A?	PCR-BD R285a
LN_26_AA0422	73A?	PCR-BD R285a</t>
  </si>
  <si>
    <t>MS_030326_001_X_P</t>
  </si>
  <si>
    <t>MS_280226_003</t>
  </si>
  <si>
    <t>Đầu 2F tín hiệu chồng chéo
1F nhiều mẫu peak shoulder (vd: AA0214, AA0240, AA0270)
Xuất lại file:
LN_26_AA0181 79-340 438-576 16024-16365 -&gt; fullregion
LN_26_AA0241 402N, 404N 484N -&gt; xóa; 489N -&gt; C
Đề xuất chạy lại (6 mẫu):
LN_26_AA0188	3R polyAC	PCR-BD 3F
LN_26_AA0214	1F peak shoulder	PCR-BD 1F
LN_26_AA0240	1F peak shoulder	PCR-BD 1F
LN_26_AA0243	3R polyC	PCR-BD 3F, R389
LN_26_AA0262	3R polyC	PCR-BD 3F, R389
LN_26_AA0270	1F peak shoulder	PCR-BD 1F</t>
  </si>
  <si>
    <t>MS_280226_003_Q_H</t>
  </si>
  <si>
    <t>MS_040326_002</t>
  </si>
  <si>
    <t>Xuân review xuất lại file: 
LN_26_AA0969 522Del -&gt; 524Del
Phương review:
LN_26_AA0934	3R nền cao (do LHP tại 567-573)
LN_26_AA0979	1R dyeblob
LN_26_AA0966	3R nền cao (do LHP tại 567-573)
Xuất lại vùng:
LN_26_AA0915	79-340, 438-576, 16024-16365 -&gt; full region
LN_26_AA0947	79-340, 438-576, 16024-16365 -&gt; full region
Đề xuất rerun:
LN_26_AA0930	1F fail, 1R fail	PCR-BD 1F, 1R
LN_26_AA0942	3R nền cao	PCR-BD 3F, R389
LN_26_AA0960	3R polyC	PCR-BD 3F, R389
LN_26_AA0969	3R polyC	PCR-BD 3F
LN_26_AA0989	3R polyC	PCR-BD 3F, R389</t>
  </si>
  <si>
    <t>MS_040326_002_X_P</t>
  </si>
  <si>
    <t>MS_040326_001</t>
  </si>
  <si>
    <t>LN_26_AA0834	1F 16202M ?
Quyên xuất lại vùng:
LN_26_AA0825 79-340, 438-576, 16024-16365 -&gt;-79-302 16024-16365
Hùng xuất lại file:
LN_26_AA0837 79-340 438-508 16024-16365 =&gt; 79-340 438-522 526-576 16024-16365
LN_26_AA0844 320N =&gt; C
LN_26_AA0858 79-340 438-576 16024-16365 =&gt; 79-302 316-340 438-576 16024-16365; 16129R
LN_26_AA0873 146Y
LN_26_AA0880 352.1C =&gt; 356.1C
Đề xuất chạy lại:
LN_26_AA0819	3R polyC	PCR-BD 3F, R389
LN_26_AA0825	3R polyC	PCR-BD 3F, R389</t>
  </si>
  <si>
    <t>MS_040326_001_Q_H</t>
  </si>
  <si>
    <t>MS_030326_002</t>
  </si>
  <si>
    <t>Thủy review
Xuất lại file
LN_26_AA0497-76-340 438-576 16024-16365
Đề xuất chạy lại:
LN_26_AA0533	3R nền sau polyC =&gt; PCR-BD 3F, R389
Phương review:
Xuất lại: full region -&gt; 79-340 438-576 16024-16365
LN_26_AA0452
LN_26_AA0459
LN_26_AA0460
LN_26_AA0462
LN_26_AA0463
LN_26_AA0466
LN_26_AA0468
LN_26_AA0470
LN_26_AA0472
LN_26_AA0477
LN_26_AA0478
LN_26_AA0495
LN_26_AA0497
LN_26_AA0502
LN_26_AA0518
LN_26_AA0519
LN_26_AA0523
LN_26_AA0527
LN_26_AA0529
LN_26_AA0534
LN_26_AA0535
LN_26_AA0536
LN_26_AA0537
LN_26_AA0538
LN_26_AA0540
Xuất lại: 76-340, 438-576, 16024-16365 -&gt; 79-340, 438-576, 16024-16365
LN_26_AA0471	
LN_26_AA0473	
LN_26_AA0474	
LN_26_AA0476	
LN_26_AA0479	
LN_26_AA0481	
LN_26_AA0482	16129R
LN_26_AA0483	
LN_26_AA0486	
LN_26_AA0488	
LN_26_AA0490	
LN_26_AA0491	
LN_26_AA0493	
LN_26_AA0494	
LN_26_AA0500	
LN_26_AA0501	
LN_26_AA0504	
LN_26_AA0505	
LN_26_AA0506	
LN_26_AA0507	
LN_26_AA0508	
LN_26_AA0510	
LN_26_AA0511	
LN_26_AA0513	
LN_26_AA0514	
LN_26_AA0515	
LN_26_AA0520	
LN_26_AA0521	
LN_26_AA0525	
LN_26_AA0528	
LN_26_AA0531	
LN_26_AA0532	
Đề xuất rerun:
LN_26_AA0461	16292Y?	PCR-BD 1R
LN_26_AA0501	3R dyeblob	PCR-BD 3F
LN_26_AA0506	3R nền cao	PCR-BD 3F, R389
LN_26_AA0509	3R nền cao + dye blob	PCR-BD 3F
LN_26_AA0512	16375Y?	PCR-BD 1R
LN_26_AA0533	3R polyC	PCR-BD 3F, R389</t>
  </si>
  <si>
    <t>MS_030326_002_T_P</t>
  </si>
  <si>
    <t>MS_060326_002_V002</t>
  </si>
  <si>
    <t>Xuất lại file:
LN_26_AA3089 miss 16183C 16184A 
LN_26_AA3091 fullregion =&gt; 79-340 438-576 16024-16365
LN_26_AA3112 146Y
LN_26_AA3136 16182C =&gt; 16182A
Đề xuất chạy lại:
LN_26_AA3078	3R polyC	PCR-BD 3F
LN_26_AA3084	3R peak shoulder	PCR-BD 3F
LN_26_AA3106	Tín hiệu phức tạp	Chạy lại từ bước tách -&gt; PCR-BD 1F, 1R, 2F, 3R</t>
  </si>
  <si>
    <t>MS_060326_002_V002_T_H</t>
  </si>
  <si>
    <t>MS_060326_001_V001</t>
  </si>
  <si>
    <t>Đầu 2F chồng lấn
3R vùng HV2 tín hiệu yếu
Đề xuất chạy lại:
LN_26_AA2998	2F ngắn		PCR-BD 2F
LN_26_AA3003	2F dye blob	PCR-BD 2F</t>
  </si>
  <si>
    <t>MS_060326_001_V001_Q_H</t>
  </si>
  <si>
    <t>MS_280226_002</t>
  </si>
  <si>
    <t>Phương review:
LN_26_AA0093	LHP tại polyC HVI (16184-16193)
Xuất lại file:
LN_26_AA0151	574C -&gt; 573.1C 573.2C (nền cao do LHP tại 567-573)
LN_26_AA0136	3R nền cao (AC repeat)
Đề xuất rerun:
LN_26_AA0137	1R tín hiệu không rõ ràng	PCR-BD 1R
LN_26_AA0152	1R tín hiệu không rõ ràng	PCR-BD 1R
LN_26_AA0172	73A?, 3R ngắn	PCR-BD R285a, 3F, R389
LN_26_AA0179	73A?	PCR-BD R285a</t>
  </si>
  <si>
    <t>MS_280226_002_X_P</t>
  </si>
  <si>
    <t>MS_090326_001_V004</t>
  </si>
  <si>
    <t>Xuất lại file:
26_AA3347 16291Y
26_AA3402 16162DEL -&gt; 16166DEL
26_AA3393 311Y
Đề xuất chạy lại:
LN_26_AA3378	3R polyC	PCR-BD 3F, R389
LN_26_AA3410	3R polyC	PCR-BD 3F, R389</t>
  </si>
  <si>
    <t>MS_090326_001_V004_T_H</t>
  </si>
  <si>
    <t>MS_100326_001_V008</t>
  </si>
  <si>
    <t>NTC1 3R có trình tự, Blast không ra trình tự
Đề xuất rerun:
LN_26_AA3779-73-302 316-340 438-576 16024-16365	Poly C HVII tín hiệu không rõ ràng (310N?), tồn tại LHP tại polyC HVI gây khó xác định hetero -&gt; tách lại</t>
  </si>
  <si>
    <t>MS_100326_001_V008_P_P</t>
  </si>
  <si>
    <t>MS_090326_003_V006</t>
  </si>
  <si>
    <t xml:space="preserve">NTC1 1R có trình tự- BLAST không có
Quyên xuất lại:
LN_26_AA3571-79-340 438-573 16024-16365
Hùng xuất lại file:
LN_26_AA3571-79-340 438-573 16024-16365 =&gt; 79-340 438-566 16024-16365
</t>
  </si>
  <si>
    <t>MS_090326_003_V006_Q_H</t>
  </si>
  <si>
    <t>MS_090326_004_V007</t>
  </si>
  <si>
    <t xml:space="preserve">Một số trình tự 3R nhiễu: LN_26_AA3605, LN_26_AA3632, LN_26_AA3643
</t>
  </si>
  <si>
    <t>MS_090326_004_V007_T_H</t>
  </si>
  <si>
    <t>MS_090326_002_V005</t>
  </si>
  <si>
    <t>Phương review:
LN_26_AA3446	3R nền cao (AC repeat)
Xuất lại file:
LN_26_AA3432	16189Y
LN_26_AA3454  456DEL -&gt; 459DEL
Xuất lại vùng: 79-340 438-576 16024-16365 -&gt; 79-340 438-573 16024-16365
LN_26_AA3474
Xuất lại vùng: Full region -&gt; 79-340 438-576 16024-16365
LN_26_AA3449
LN_26_AA3495
LN_26_AA3506
Xuất lại vùng: 79-340 438-576 16024-16365 -&gt; full region
LN_26_AA3480
LN_26_AA3481
LN_26_AA3494
LN_26_AA3496
Đề xuất rerun:
LN_26_AA3482	3R nền cao (polyAC)	PCR-BD 3F</t>
  </si>
  <si>
    <t>MS_090326_002_V005_X_P</t>
  </si>
  <si>
    <t>MS_100326_003_V009</t>
  </si>
  <si>
    <t>Xuân QC:
Xuất lại vùng: 
LN_26_AA3929 FULL REGION -&gt; LN_26_AA3929-79-340 438-576 16024-16365
LN_26_AA3939 FULL REGION -&gt; LN_26_AA3939-79-340 438-576 16024-16365
Phương review:
Xuất lại file:
LN_26_AA3873	16189Y
LN_26_AA3894	full region -&gt; 79-340 438-576 16024-16365
Đề xuất rerun:
LN_26_AA3930	73A?		PCR-BD R285a
LN_26_AA3950	3R polyC	PCR-BD 3F, R389</t>
  </si>
  <si>
    <t>MS_100326_003_V009_X_P</t>
  </si>
  <si>
    <t>MS_060326_003_V011</t>
  </si>
  <si>
    <t>Xuất lại file:
LN_26_AA3201 fullregion =&gt; 79-340 438-576 16024-16365
LN_26_AA3204 73G -&gt; xóa
LN_26_AA3225-79-340 438-576 16024-16365 =&gt; LN_26_AA3226-79-340 438-576 16024-16365
Đề xuất chạy lại:
LN_26_AA3189	3R polyC	PCR-BD 3F, R389
LN_26_AA3202	2F fail, 3R polyC	PCR-BD 2F, 3F, R389</t>
  </si>
  <si>
    <t>MS_060326_003_V011_T_H</t>
  </si>
  <si>
    <t>MS_100326_002_V010</t>
  </si>
  <si>
    <t>Xuất lại file:
LN_26_AA3843 fullregion =&gt; 79-340 438-576 16024-16255 16264-16365
Đề xuất chạy lại:
LN_26_AA3821	3R polyC	PCR-BD 3F, R389</t>
  </si>
  <si>
    <t>MS_100326_002_V010_Q_H</t>
  </si>
  <si>
    <t>MS_100326_005_V013</t>
  </si>
  <si>
    <t xml:space="preserve">
Xuất lại file:
LN_26_AA4077 16189DEL =&gt; 16193DEL
LN_26_AA4096 16192Y
LN_26_AA4118-79-340 438-576 16024-16365
LN_26_AA4119-79-340 438-576 16038-16365
LN_26_AA4120-79-340 438-576 16024-16365 (thiếu dấu "-" giữa ID với số 79)
LN_26_AA4133-79-340 438-522 526-576 16024-16365
Đề xuất chạy lại:
LN_26_AA4065	3R polyC	PCR-BD 3F, R389
LN_26_AA4091	2F fail		PCR-BD 2F</t>
  </si>
  <si>
    <t>MS_100326_005_V013_T_H</t>
  </si>
  <si>
    <t>MS_060326_004_V003</t>
  </si>
  <si>
    <t>Quyên xuất lại file:
LN_26_AA3290 16093C</t>
  </si>
  <si>
    <t>MS_060326_004_V003_Q_H</t>
  </si>
  <si>
    <t>MS_100326_004_V012</t>
  </si>
  <si>
    <t>Phương review:
Đề xuất rerun:
LN_26_AA4023	3R nền cao	PCR-BD 3F, R389</t>
  </si>
  <si>
    <t>MS_100326_004_V012_X_P</t>
  </si>
  <si>
    <t>MS_110326_002_V015</t>
  </si>
  <si>
    <t>Xuất lại file:
LN_26_AA4245 16051R 
Đề xuất chạy lại:
LN_26_AA4234	3R polyC	PCR-BD 3F, R389
LN_26_AA4315	3R polyC	PCR-BD 3F, R389</t>
  </si>
  <si>
    <t>MS_110326_002_V015_T_H</t>
  </si>
  <si>
    <t>MS_120326_004_V019</t>
  </si>
  <si>
    <t>Thủy review:
Xuất lại file:
LN_26_AA4683	16162DEL -&gt; 16166DEL
LN_26_AA4754	kiểm tra lại 
Đề xuất chạy lại:
LN_26_AA4700	3R polyC =&gt; PCR-BD 3F, R389
Phương review:
LN_26_AA4748	LHP tại AC repeat, báo cáo theo dominant peak
Xuất lại file:
LN_26_AA4689	146Y
LN_26_AA4721	16093Y
LN_26_AA4735	16093Y
Đề xuất rerun:
LN_26_AA4754	LHP ở polyC HV1 -&gt; tách lại
LN_26_AA4700	3R polyC -&gt; PCR-BD 3F, R389</t>
  </si>
  <si>
    <t>MS_120326_004_V019_T_P</t>
  </si>
  <si>
    <t>MS_120326_002_V017</t>
  </si>
  <si>
    <t>xuất lại file:
LN_26_AA4501 311Y
LN_26_AA4557 366R -&gt; xóa
Đề xuất chạy lại:
LN_26_AA4552	2F, 3R nền cao	PCR-BD R285a, 3F
LN_26_AA4575	3R polyC	PCR-BD 3F, R389</t>
  </si>
  <si>
    <t>MS_120326_002_V017_Q_H</t>
  </si>
  <si>
    <t>MS_110326_003_V016</t>
  </si>
  <si>
    <t>Phương review:
Đề xuất rerun:
LN_26_AA4325	101A?	PCR-BD R285a
LN_26_AA4361	3R dye blob	PCR-BD 3F
LN_26_AA4400	3R polyC	PCR-BD 3F, R389
LN_26_AA4402	3R polyC	PCR-BD 3F, R389</t>
  </si>
  <si>
    <t>MS_110326_003_V016_X_P</t>
  </si>
  <si>
    <t>Đã cập nhật lại file</t>
  </si>
  <si>
    <t>MS_110326_001_V014</t>
  </si>
  <si>
    <t>Đề xuất chạy lại:
LN_26_AA4148	3R polyC	   PCR-BD 3F, R389
LN_26_AA4163	1F tín hiệu yếu	   PCR-BD 1F
LN_26_AA4174	3R polyC	   PCR-BD 3F, R389</t>
  </si>
  <si>
    <t>MS_110326_001_V014_P_H</t>
  </si>
  <si>
    <t>MS_120326_003_V018</t>
  </si>
  <si>
    <t>Đề xuất chạy lại:
LN_26_AA4612	     1R peak shoulder	PCR-BD 1R
LN_26_AA4613	     2F fail			PCR-BD 2F
LN_26_AA4616	     3R polyC		PCR-BD 3F, R389
LN_26_AA4620	     1F tín hiệu yếu	PCR-BD 1F
LN_26_AA4657     73R ? 			PCR-BD R258a</t>
  </si>
  <si>
    <t>MS_120326_003_V018_P_H</t>
  </si>
  <si>
    <t>MS_130326_002_V022</t>
  </si>
  <si>
    <t>NTC2 có trình =&gt; Quyên blast không có kết quả
Đề xuất chạy lại:
LN_26_AA4864	3R polyC	PCR-BD 3F
LN_26_AA4868	3R polyC	PCR-BD 3F, R389
LN_26_AA4869	3R polyC	PCR-BD 3F
LN_26_AA4873	1F peak shoulder	PCR-BD 1F
LN_26_AA4875	3R polyC	PCR-BD 3F, R389
LN_26_AA4950	2F nền cao	PCR-BD R258a</t>
  </si>
  <si>
    <t>MS_130326_002_V022_Q_H</t>
  </si>
  <si>
    <t>MS_150326_002_V023</t>
  </si>
  <si>
    <t>Thủy xuất lại file:
LN_26_AA50125 =&gt; LN_26_AA5125
LN_26_AA5116 16297Y
HÙNG XUẤT LẠI FILE:
LN_26_AA5082 16299R
LN_26_AA5101-73-340 438-576 16024-16365 =&gt; fullregion
Đề xuất chạy lại
LN_26_AA5050	3R polyC	PCR-BD 3F
LN_26_AA5094	3R polyAC	PCR-BD 3F, R389
LN_26_AA5107	152Y 198Y 16188Y 16189Y ?	Chạy lại từ bước tách -&gt; PCR-BD 1F, 1R, 2F, 3R</t>
  </si>
  <si>
    <t>MS_150326_002_V023_T_H</t>
  </si>
  <si>
    <t>MS_130326_001_V020</t>
  </si>
  <si>
    <t>Thủy xuất lại file:
LN_26_AA4791	Bỏ 16194M
LN_26_AA4829	459DEL
Phương review:
Đề xuất rerun:
LN_26_AA4778	LHP ở polyC HV1	-&gt; Tách lại
LN_26_AA4794	3R nền cao (AC repeat) -&gt; PCR-BD 3F, R389
LN_26_AA4824	2F polyC	PCR-BD F109, R285a
LN_26_AA4834	3R ngắn	-&gt; PCR-BD 3F, R389</t>
  </si>
  <si>
    <t>MS_130326_001_V020_T_P</t>
  </si>
  <si>
    <t>MS_150326_001_V021</t>
  </si>
  <si>
    <t>Phương review:
Loại trừ khả năng heteroplasmy tại vị trí 152
Xuất lại file:
LN_26_AA4954	153R
Đề xuất rerun:
LN_26_AA4951	3R polyC -&gt; PCR-BD 3F, R389
LN_26_AA5013	3R polyC -&gt; PCR-BD 3F, R389</t>
  </si>
  <si>
    <t>MS_150326_001_V021_X_P</t>
  </si>
  <si>
    <t>MS_150326_003_V024</t>
  </si>
  <si>
    <t>Phương review:
LN_26_AA5185	LHP tại AC repeat</t>
  </si>
  <si>
    <t>MS_150326_003_V024_X_P</t>
  </si>
  <si>
    <t>20260503_mtDNA_XNPP_BS</t>
  </si>
  <si>
    <t xml:space="preserve">2F tín hiệu chồng lấn
Đề xuất lần tới: Tổ chức lại thư mục
- Để riêng thí nghiệm tái lập, tái lặp, .... không để chung như hiện tại
- Thống nhất cấu trúc đặt tên, kể cả phông chữ
- Có danh sách mẫu excel </t>
  </si>
  <si>
    <t>Hùng review, Nam đã gửi lab, đề nghị lab tự review, cần thì feedback. Đề nghị lab lần gửi trình tự tiếp theo cần tổ chức thư mục, file đúng format</t>
  </si>
  <si>
    <t>MS_150326_004_V026</t>
  </si>
  <si>
    <t>Thủy review:
Đề xuất chạy lại
LN_26_AA5236	3R polyC (AC repeat) =&gt; PCR-BD 3F, R389
LN_26_AA5276	3R polyC (AC repeat) =&gt; PCR-BD 3F, R389
Phương review:
LN_26_AA5233	LHP tại AC repeat
LN_26_AA5240	LHP tại AC repeat
Xuất lại file:
LN_26_AA5229	16071DEL -&gt; 16073DEL
LN_26_AA5297	16189Y
Đề xuất rerun:
LN_26_AA5236	3R nền cao (AC repeat)	PCR-BD 3F, R389
LN_26_AA5276	3R nền cao	PCR-BD 3F, R389
LN_26_AA5288	152Y 198Y? 16093Y 16188Y 16189Y ?	Chạy lại từ bước tách -&gt; PCR-BD 1F, 1R, 2F, 3R</t>
  </si>
  <si>
    <t>MS_150326_004_V026_T_P</t>
  </si>
  <si>
    <t>MS_160326_001_V025</t>
  </si>
  <si>
    <t>Quyên xuất lại:
LN_26_AA5364 456DEL -&gt; 459DEL
Đề xuất chạy lại:
LN_26_AA5349	3R polyAC	PCR-BD 3F, R389
LN_26_AA5378	3R dye blob	PCR-BD 3F</t>
  </si>
  <si>
    <t>MS_160326_001_V025_Q_H</t>
  </si>
  <si>
    <t>MS_160326_003_V028</t>
  </si>
  <si>
    <t>Xuất lại file:
LN_26_AA5543 200R
LN_26_AA5559 16057C -&gt; N
LN_26_AA5568 16057C -&gt; N
Đề xuất chạy lại:
LN_26_AA5576	2F dye blob	PCR-BD 2F
LN_26_AA5579	3R polyAC	PCR-BD 3F, R389</t>
  </si>
  <si>
    <t>MS_160326_003_V028_Q_H</t>
  </si>
  <si>
    <t>MS_160326_002_V027</t>
  </si>
  <si>
    <t>Phương review:
Xuất lại file:
LN_26_AA5475	16194M 16195Y
Đề xuất rerun:
LN_26_AA5407	3R polyC (AC repeat)	PCR-BD 3F, R389
LN_26_AA5408	3R polyC (AC repeat)	PCR-BD 3F, R389
LN_26_AA5409	3R polyC	PCR-BD 3F, R389
LN_26_AA5427	LHP ở polyC HV1	Tách lại
LN_26_AA5437	16093Y? 16129R? 16304Y? 16335R?	Chạy lại từ bước tách -&gt; PCR-BD 1F, 1R, 2F, 3R
LN_26_AA5480	3R polyC	PCR-BD 3F, R389</t>
  </si>
  <si>
    <t>MS_160326_002_V027_X_P</t>
  </si>
  <si>
    <t>MS_160326_004_V029</t>
  </si>
  <si>
    <r>
      <rPr>
        <sz val="10"/>
        <color rgb="FF000000"/>
        <rFont val="Calibri"/>
      </rPr>
      <t xml:space="preserve">Thủy review:
xuất lại file
LN_26_AA5613	16296del
LN_26_AA5620	16298Y-T
Phương review:
Xuất lại file:
</t>
    </r>
    <r>
      <rPr>
        <strike/>
        <sz val="10"/>
        <color rgb="FF000000"/>
        <rFont val="Calibri"/>
      </rPr>
      <t xml:space="preserve">LN_26_AA5597	16298Y (1F: T, 1R: Y)
LN_26_AA5604	16298Y
</t>
    </r>
    <r>
      <rPr>
        <sz val="10"/>
        <color rgb="FF000000"/>
        <rFont val="Calibri"/>
      </rPr>
      <t xml:space="preserve">LN_26_AA5613	Pattern mới =&gt; Sửa theo EMPOP: 16296T 16298DEL
</t>
    </r>
    <r>
      <rPr>
        <strike/>
        <sz val="10"/>
        <color rgb="FF000000"/>
        <rFont val="Calibri"/>
      </rPr>
      <t xml:space="preserve">LN_26_AA5620	16298Y
</t>
    </r>
    <r>
      <rPr>
        <sz val="10"/>
        <color rgb="FF000000"/>
        <rFont val="Calibri"/>
      </rPr>
      <t xml:space="preserve">LN_26_AA5625	16129R, Pattern mới =&gt; Sửa theo EMPOP: 16296T </t>
    </r>
    <r>
      <rPr>
        <strike/>
        <sz val="10"/>
        <color rgb="FF000000"/>
        <rFont val="Calibri"/>
      </rPr>
      <t>16297Y</t>
    </r>
    <r>
      <rPr>
        <sz val="10"/>
        <color rgb="FF000000"/>
        <rFont val="Calibri"/>
      </rPr>
      <t xml:space="preserve"> 16298DEL
LN_26_AA5669	16057N</t>
    </r>
  </si>
  <si>
    <t>MS_160326_004_V029_T_P</t>
  </si>
  <si>
    <t>MS_170326_004_V034</t>
  </si>
  <si>
    <t>Xuất lại file:
LN_26_AA5947 16057C-&gt;N
LN_26_AA5978 16057C-&gt;N
LN_26_AA5997 16057C-&gt;N
Đề xuất chạy lại:
LN_26_AA5946	3R polyC	PCR-BD 3F, R389
LN_26_AA5954	2F nền cao	PCR-BD F109, R258a
LN_26_AA6030	2F peak shoulder	PCR-BD 2F</t>
  </si>
  <si>
    <t>MS_170326_004_V034_Q_H</t>
  </si>
  <si>
    <t>MS_120326_001_V031</t>
  </si>
  <si>
    <t>Hùng QC:
PC1 3R ngắn
3R vùng HV2 tín hiệu yếu
Xuất lại file:
LN_26_AA4470	16182.1C -&gt; xóa
Phương review:
LN_26_AA4484	LHP tại 455-463
Xuất lại file:
LN_26_AA4451	451.1T -&gt; 455.1T
LN_26_AA4453	451.1T -&gt; 455.1T
LN_26_AA4474	Xuất lại full region (bổ sung 573.1C 573.2C), 3R tín hiệu thấp
Đề xuất rerun:
LN_26_AA4424	3R ngắn + dye blob	PCR-BD 3F, R389
LN_26_AA4462	3R poly AC, 1R polyC (16293A-C)	PCR-BD 3F, R389, F16190, R16258
LN_26_AA4466	3R polyC	PCR-BD 3F, R389</t>
  </si>
  <si>
    <t>MS_120326_001_V031_H_P</t>
  </si>
  <si>
    <t>MS_120326_001_V033</t>
  </si>
  <si>
    <t>Review:
Đầu 1F một số mẫu tín hiệu yếu (vd: các mẫu xuất lại vùng bên dưới)
Xuất lại file:
LN_26_AA5923 fullregion =&gt; 73-340 438-576 16036-16365
LN_26_AA5926 fullregion =&gt; 73-340 438-576 16036-16365
LN_26_AA5931 fullregion =&gt; 73-340 438-576 16036-16365
LN_26_AA5939 fullregion =&gt; 73-340 438-576 16036-16365
Đề xuất chạy lại:
LN_26_AA5919	1F tín hiệu kém + nền cao + dye blob	PCR-BD 1F</t>
  </si>
  <si>
    <t>MS_170326_003_V033_T_H</t>
  </si>
  <si>
    <t>MS_170326_002_V032</t>
  </si>
  <si>
    <t>Phương review:
Xuất lại file
LN_26_AA5763	16296DEL -&gt; 16296T 16298DEL
LN_26_AA5808	16132N 16133N
LN_26_AA5818	456DEL -&gt; 459DEL
Đề xuất rerun:
LN_26_AA5764	2F peak shoulder	PCR-BD 2F
LN_26_AA5794	3R nền cao (AC repeat)	PCR-BD 3F, R389
LN_26_AA5806	3R nền cao (AC repeat)	PCR-BD 3F, R389
LN_26_AA5826	3R polyC	PCR-BD 3F, R389
LN_26_AA5838	3R polyC	PCR-BD 3F, R389</t>
  </si>
  <si>
    <t>MS_170326_002_V032_X_P</t>
  </si>
  <si>
    <t>MS_180326_001_V035</t>
  </si>
  <si>
    <t xml:space="preserve">Thủy xuất lại file:
LN_26_AA6048-73-340 438-573 16024-16365
Hùng xuất lại file:
LN_26_AA6039 16057C -&gt; N
LN_26_AA6040 16057C -&gt; N
LN_26_AA6109 16057C -&gt; N
Đề xuất chạy lại
LN_26_AA6105 2F fail PCR-BD 2F
</t>
  </si>
  <si>
    <t>MS_180326_001_V035_T_H</t>
  </si>
  <si>
    <t>MS_180326_002_V036</t>
  </si>
  <si>
    <t xml:space="preserve">Quyên xuất lại:
LN_26_AA6137 250DEL -&gt;249DEL
Hùng xuất lại file:
LN_26_AA6139 16093Y
LN_26_AA6164 273S
Đề xuất chạy lại:
LN_26_AA6121	1F, 1R fail	PCR-BD 1F, 1R
LN_26_AA6142	3R ngắn + dye blob 	PCR-BD 3F, R389
LN_26_AA6189	3R polyC	PCR-BD 3F
LN_26_AA6196	3R ngắn	PCR-BD 3R
</t>
  </si>
  <si>
    <t>MS_180326_002_V036_Q_H</t>
  </si>
  <si>
    <t>MS_190326_002_V038</t>
  </si>
  <si>
    <t>Đề xuất chạy lại
LN_26_AA6384	2F nền cao PCR-BD F109, R285a</t>
  </si>
  <si>
    <t>MS_190326_002_V038_T_H</t>
  </si>
  <si>
    <t>MS_170326_001_V030</t>
  </si>
  <si>
    <t xml:space="preserve">Xuất lại file:
LN_26_AA5708 fullregion =&gt; 73-340 438-573 16024-16365
LN_26_AA5714 16129R
</t>
  </si>
  <si>
    <t>MS_170326_001_V030_P_H</t>
  </si>
  <si>
    <t>MS_190326_001_V037</t>
  </si>
  <si>
    <t>Phương review:
Xuất lại file:
LN_26_AA6284	Xuất lại full region
LN_26_AA6257	16192Y -&gt; 16192T
LN_26_AA6224	521DEL 522DEL -&gt; 521A 522C
LN_26_AA6253	16057N
LN_26_AA6285	16057N
Đề xuất rerun:
LN_26_AA6222	1F fail	PCR-BD 1F
LN_26_AA6258	3R nền cao (AC repeat)	PCR-BD 3F, R389
LN_26_AA6261	2F ngắn + polyC	PCR-BD 2F
LN_26_AA6267	16172K?	PCR-BD 1F
LN_26_AA6272	189R? 16129R? 16182M? 16265R? 16304Y?;  3R nền cao (AC repeat) + peak shoulder	Chạy lại từ bước tách -&gt; PCR-BD 1F, 1R, 2F 3F, R389
LN_26_AA6296	3R polyC	PCR-BD 3F, R389
LN_26_AA6300	3R nền cao (AC repeat)	PCR-BD 3F, R389</t>
  </si>
  <si>
    <t>MS_190326_001_V037_X_P</t>
  </si>
  <si>
    <t>MS_190326_004_V040</t>
  </si>
  <si>
    <t>Review:
1R nhiều dương tính giả tại 16162 và 16298Y, VD: LN_26_AA6481, LN_26_AA6499, LN_26_AA6513, LN_26_AA6522, LN_26_AA6569
Xuất lại file:
LN_26_AA6499 186S -&gt; xóa
LN_26_AA6509 16057N -&gt; xóa; 16352Y
LN_26_AA6539 195Y -&gt; xóa; 16057N -&gt; xóa
LN_26_AA6556 1F, 1R sai mẫu 
LN_26_AA6559 16298Y -&gt; xóa</t>
  </si>
  <si>
    <t>MS_190326_004_V040_Q_H</t>
  </si>
  <si>
    <t>MS_200326_001_V041</t>
  </si>
  <si>
    <t>Phương review:
NTC1 1R dương tính -&gt; Blast không ra trình tự
Xuất lại file:
LN_26_AA6605	Xuất lại full region, 3R nền cao do LHP tại 567-573
LN_26_AA6644	260N
LN_26_AA6655	bỏ 16194M
LN_26_AA6659	194T 196DEL -&gt; 194DEL; 264N
Đề xuất rerun:
LN_26_AA6630	3R tín hiệu yếu	PCR-BD 3F
LN_26_AA6652	2F dye blob	PCR-BD 2F</t>
  </si>
  <si>
    <t>MS_200326_001_V041_X_P</t>
  </si>
  <si>
    <t>MS_200326_003_V042</t>
  </si>
  <si>
    <t>Thủy đề xuất chạy lại:
LN_26_AA6779	3R polyC =&gt; PCR-BD 3F
LN_26_AA6786	3R polyC (AC repeat) =&gt; PCR-BD 3F, R389
LN_26_AA6791	3R LHP polyC =&gt; PCR-BD 3F
LN_26_AA6818	3R polyC (AC repeat) =&gt; PCR-BD 3F, R389
LN_26_AA6827	3R polyC (AC repeat) =&gt; PCR-BD 3F, R389
LN_26_AA6832	3R LHP polyC =&gt; PCR-BD 3F, R389
Phương review:
Xuất lại file:
LN_26_AA6786	16093Y
LN_26_AA6834	16057N
Đề xuất rerun:
LN_26_AA6818	3R polyAC	PCR-BD 3F, R389
LN_26_AA6832	3R nền cao	PCR-BD 3F, R389</t>
  </si>
  <si>
    <t>MS_200326_003_V042_T_P</t>
  </si>
  <si>
    <t>MS_200326_002_V044</t>
  </si>
  <si>
    <t>Phương review:
Xuất lại file:
LN_26_AA6723	FULL REGION -&gt; 73-340 438-522 526-576 16024-16365
LN_26_AA6699	16311Y
LN_26_AA6732	16129R
Đề xuất rerun:
LN_26_AA6695	3R polyC	PCR-BD 3F, R389
LN_26_AA6704	LHP ở polyC HV1	Hoãn trả KQ
LN_26_AA6739	3R polyC	PCR-BD 3F, R389
LN_26_AA6743	3R nền cao (AC repeat)	PCR-BD 3F, R389</t>
  </si>
  <si>
    <t>MS_200326_002_V044_T_P</t>
  </si>
  <si>
    <t>MS_190326_003_V039</t>
  </si>
  <si>
    <t>Phương review:
Đề xuất rerun:
LN_26_AA6411	3R tín hiệu yếu	PCR-BD 3F, R389
LN_26_AA6425	3R nền cao	PCR-BD 3F, R389
LN_26_AA6445	3R nền cao	PCR-BD 3F, R389 -&gt; Nam rv pass
LN_26_AA6446	3R nền cao (AC repeat)	PCR-BD 3F, R389
LN_26_AA6456	3R polyC	PCR-BD 3F, R389
LN_26_AA6469	2F peak shoulder	PCR-BD 2F</t>
  </si>
  <si>
    <t>MS_190326_003_V039_H_P</t>
  </si>
  <si>
    <t>MS_200326_006_V046</t>
  </si>
  <si>
    <t>Xuân xuất lại file: 
LN_26_AA7029 16179T-&gt;Y
Hùng xuất lại file:
LN_26_AA7036 16298Y -&gt; XÓA
LN_26_AA7062 16298Y -&gt; XÓA
LN_26_AA7076 16298Y -&gt; XÓA
LN_26_AA7085 16298Y -&gt; XÓA
LN_26_AA7097 16093Y
LN_26_AA7108 207R -&gt; A
Giữ lại
LN_26_AA7040	16188T 16189Y? Tạm giữ lại để phân tích</t>
  </si>
  <si>
    <t>MS_200326_006_V046_X_H</t>
  </si>
  <si>
    <t>MS_200326_004_V043</t>
  </si>
  <si>
    <t>Xuất lại file:
LN_26_AA6915 307Y
Đề xuất chạy lại:
LN_26_AA6909	3R polyC	PCR-BD 3F</t>
  </si>
  <si>
    <t>MS_200326_004_V043_P_H</t>
  </si>
  <si>
    <t>MS_230326_001_V047</t>
  </si>
  <si>
    <r>
      <rPr>
        <sz val="10"/>
        <color rgb="FF000000"/>
        <rFont val="Calibri"/>
      </rPr>
      <t xml:space="preserve">Quyên xuất lại file:
LN_26_AA7174	194T 196DEL -&gt;194DEL 199C
Phương review:
Xuất lại file:
LN_26_AA7135	16187Y 16188Y -&gt; 16188Y 16189Y 16193.1C </t>
    </r>
    <r>
      <rPr>
        <b/>
        <sz val="10"/>
        <color rgb="FFFF0000"/>
        <rFont val="Calibri"/>
      </rPr>
      <t xml:space="preserve">(LHP ở polyC HV1 (16188Y? 16189Y?) -&gt; Hoãn trả KQ)
</t>
    </r>
    <r>
      <rPr>
        <sz val="10"/>
        <color rgb="FF000000"/>
        <rFont val="Calibri"/>
      </rPr>
      <t xml:space="preserve">LN_26_AA7193	506 C -&gt; N
Đề xuất rerun:
LN_26_AA7127	3R tín hiệu yếu, </t>
    </r>
    <r>
      <rPr>
        <b/>
        <sz val="10"/>
        <color rgb="FFFF0000"/>
        <rFont val="Calibri"/>
      </rPr>
      <t>LHP ở polyC HV1 (16188Y? 16189Y?)</t>
    </r>
    <r>
      <rPr>
        <sz val="10"/>
        <color rgb="FF000000"/>
        <rFont val="Calibri"/>
      </rPr>
      <t xml:space="preserve">	PCR-BD 3F, R389
LN_26_AA7149	2F nền cao 	PCR-BD F109, R285a
LN_26_AA7192	3R polyAC	PCR-BD 3F, R389</t>
    </r>
  </si>
  <si>
    <t>MS_230326_001_V047_Q_P</t>
  </si>
  <si>
    <t>MS_230326_002_V048</t>
  </si>
  <si>
    <t>Phương review:
Xuất lại file:
LN_26_AA7231	Xuất lại vùng 73-302 318-340 438-576 16024-16365
LN_26_AA7211	16057N
Đề xuất rerun:
LN_26_AA7205	3R ngắn	PCR-BD 3F, R389
LN_26_AA7209	2F nền cao	PCR-BD F109, R285a
LN_26_AA7245	1R fail	PCR-BD 1R
LN_26_AA7247	3R polyC	PCR-BD 3F, R389</t>
  </si>
  <si>
    <t>MS_230326_002_V048_T_P</t>
  </si>
  <si>
    <t>MS_230326_004_V050</t>
  </si>
  <si>
    <t>Review:
2F nền cao
1R dương tính giả rõ ràng tại 3 vị trí 16162, 16209, 16298 ở nhiều mẫu (vd: PC1, các mẫu có variant unique sequencher)
Xuất lại file:
LN_26_AA7394 110A -&gt; C
LN_26_AA7398 253N
Đề xuất chạy lại:
LN_26_AA7381	2F nhiễu	PCR-BD F109, R285a
LN_26_AA7424	2F nhiễu	PCR-BD F109, R285a</t>
  </si>
  <si>
    <t>MS_230326_004_V050_X_H</t>
  </si>
  <si>
    <t>MS_230326_006_V052</t>
  </si>
  <si>
    <t>Thủy xuất lại file
LN_26_AA7592	309.2C
LN_26_AA7603	309.1C
Hùng xuất lại file:
LN_26_AA7568 full -&gt; 73-302 310-340 438-576 16024-16365, 555N
LN_26_AA7580 16203R
Đề xuất chạy lại:
LN_26_AA7584	3R polyC (499G-C)	PCR-BD 3F, R389</t>
  </si>
  <si>
    <t>MS_230326_006_V052_T_H</t>
  </si>
  <si>
    <t>MS_230326_005_V051</t>
  </si>
  <si>
    <t>Quyên xuất lại file:
LN_26_AA7499	112N-&gt;C
Phương review:
Dương tính giả tại 112 (M) và 152 (W)
Đầu 2F nhiễu nền
Xuất lại file:
LN_26_AA7475	bỏ 152N
LN_26_AA7491	112N
LN_26_AA7492	112N 152N
LN_26_AA7496	112N 152N
LN_26_AA7513	112N 152N
LN_26_AA7541	112N
LN_26_AA7499	112N
LN_26_AA7555	16093Y
Đề xuất rerun:
LN_26_AA7493	1F tín hiệu phức tạp	PCR-BD 1F
LN_26_AA7525	2F tín hiệu phức tạp 310Y?	PCR-BD F109, R285a
LN_26_AA7535	2F peak shoulder	PCR-BD 2F
LN_26_AA7548	3R tín hiệu phức tạp	PCR-BD 3F, R389</t>
  </si>
  <si>
    <t>MS_230326_005_V051_Q_P</t>
  </si>
  <si>
    <t>MS_200326_005_V045</t>
  </si>
  <si>
    <t>Xuân xuất lại file: 
LN_26_AA6993 105A-&gt;DEL, 111DEL -&gt; A
LN_26_AA6994 105A-&gt;DEL, 111DEL -&gt; A
Phương review:
Xuất lại file:
LN_26_AA6952	16192 Y-&gt;T
LN_26_AA6979	16188Y, LHP ở polyC HV1 (16188Y? 16189Y?) -&gt; Hoãn trả KQ
LN_26_AA7005	16057N
Đề xuất rerun:
LN_26_AA7018	2F polyC	PCR-BD F109, R285a</t>
  </si>
  <si>
    <t>MS_200326_005_V045_X_P</t>
  </si>
  <si>
    <t>MS_240326_001_V053</t>
  </si>
  <si>
    <r>
      <rPr>
        <sz val="10"/>
        <color rgb="FF000000"/>
        <rFont val="Calibri"/>
      </rPr>
      <t xml:space="preserve">Thủy xuất lại file:
LN_26_AA7657	194DEL
Phương review:
Xuất lại file:
LN_26_AA7715	16183M
LN_26_AA7729	16192Y
Đề xuất rerun:
LN_26_AA7696	2F peak shoulder	PCR-BD 2F
LN_26_AA7712	2F peak shoulder	PCR-BD 2F
LN_26_AA7725	3R polyC	PCR-BD 3F, R389
</t>
    </r>
    <r>
      <rPr>
        <strike/>
        <sz val="10"/>
        <color rgb="FF000000"/>
        <rFont val="Calibri"/>
      </rPr>
      <t>LN_26_AA7731	3R polyC	PCR-BD 3F, R389</t>
    </r>
  </si>
  <si>
    <t>MS_240326_001_V053_T_P</t>
  </si>
  <si>
    <t>MS_240326_002_V054</t>
  </si>
  <si>
    <t>Xuân note:
LN_26_AA7747  2F NHIỄU
LN_26_AA7754  3R NHIỄU            -&gt; RERUN PCR-BD 3F, R389
LN_26_AA7761  3R POLYC            -&gt; RERUN PCR-BD 3F, R389
LN_26_AA7764  3R LHP POLYAC       
LN_26_AA7770  1R NHIỄU
LN_26_AA7777  2F NHIỄU            -&gt; RERUN PCR-BD 2F
LN_26_AA7786  3R POLYC            -&gt; RERUN PCR-BD 3F, R389
LN_26_AA7805  3R POLYC            -&gt; RERUN PCR-BD 3F, R389
LN_26_AA7816  3R PEAK SHOULDER
Xuân xuất lại vùng: 
LN_26_AA7769 73-302 316-340 438-576 16024-16365 -&gt; 73-302 319-340 438-576 16024-16365
Hùng đề xuất chạy lại:
LN_26_AA7754	3R polyAC	PCR-BD 3F, R389
LN_26_AA7761	3R polyC	PCR-BD 3F, R389
LN_26_AA7764	3R polyAC	PCR-BD 3F, R389
LN_26_AA7777	2F nhiễu	PCR-BD 2F
LN_26_AA7786	3R polyC	PCR-BD 3F, R389
LN_26_AA7805	3R polyC	PCR-BD 3F, R389</t>
  </si>
  <si>
    <t>MS_240326_002_V054_X_H</t>
  </si>
  <si>
    <t>MS_230326_003_V049</t>
  </si>
  <si>
    <t>LN_26_AA7337 LHP polyC HV2</t>
  </si>
  <si>
    <t>MS_230326_003_V049_H_P</t>
  </si>
  <si>
    <t>MS_240326_003_V055</t>
  </si>
  <si>
    <r>
      <rPr>
        <sz val="10"/>
        <color rgb="FF000000"/>
        <rFont val="Calibri"/>
      </rPr>
      <t xml:space="preserve">Phương review:
Xuất lại file:
LN_26_AA7913	bỏ 494M
LN_26_AA7918	151Y
Đề xuất rerun:
</t>
    </r>
    <r>
      <rPr>
        <strike/>
        <sz val="10"/>
        <color rgb="FF000000"/>
        <rFont val="Calibri"/>
      </rPr>
      <t xml:space="preserve">LN_26_AA7850	3R polyC	PCR-BD 3F
LN_26_AA7854	3R polyC	PCR-BD 3F
</t>
    </r>
    <r>
      <rPr>
        <sz val="10"/>
        <color rgb="FF000000"/>
        <rFont val="Calibri"/>
      </rPr>
      <t xml:space="preserve">LN_26_AA7880	3R polyAC	PCR-BD 3F, R389
LN_26_AA7905	3R polyC	PCR-BD 3F, R389
</t>
    </r>
    <r>
      <rPr>
        <strike/>
        <sz val="10"/>
        <color rgb="FF000000"/>
        <rFont val="Calibri"/>
      </rPr>
      <t>LN_26_AA7907	3R polyC	PCR-BD 3F, R389</t>
    </r>
  </si>
  <si>
    <t>MS_240326_003_V055_Q_P</t>
  </si>
  <si>
    <t>MS_240326_006_V058</t>
  </si>
  <si>
    <t>Review:
NTC1 HV1R có trình tự 33bp =&gt; blast ko có kết quả</t>
  </si>
  <si>
    <t>MS_240326_006_V058_X_H</t>
  </si>
  <si>
    <t>MS_240326_005_V057</t>
  </si>
  <si>
    <t>Thủy đề xuất chạy lại:
LN_26_AA8061	3R polyC =&gt; PCR-BD 3F, R389
LN_26_AA8071	3R polyC =&gt; PCR-BD 3F
LN_26_AA8072	3R polyC =&gt; PCR-BD 3F
Phương review:
Xuất lại file:
LN_26_AA8031	16126C -&gt; 16126N
Đề xuất rerun:
LN_26_AA8061	3R polyC	PCR-BD 3F, R389</t>
  </si>
  <si>
    <t>MS_240326_005_V057_T_P</t>
  </si>
  <si>
    <t>MS_260326_001_V059</t>
  </si>
  <si>
    <t>Quyên xuất lại file:
LN_26_AA8238 Ref 303A-&gt; C
Phương review:
Xuất lại file:
LN_26_AA8200	16129R
LN_26_AA8216	Xuất lại full vùng, LP tại AC repeat -&gt; báo cáo theo dominant peak
LN_26_AA8245	Xuất lại full vùng, LP tại AC repeat -&gt; báo cáo theo dominant peak
LN_26_AA8247	16183M</t>
  </si>
  <si>
    <t>MS_260326_001_V059_Q_P</t>
  </si>
  <si>
    <t>MS_260326_002_V060</t>
  </si>
  <si>
    <t>Thủy xuất lại file:
LN_26_AA8302	16162DEL -&gt; 16166DEL
Phương review:
LN_26_AA8287	3R polyC sau 348 -&gt; chưa xác định nguyên nhân (không phải LHP)
LN_26_AA8330	1R dye blob
Xuất lại file:
LN_26_AA8309	FULL REGION -&gt; 73-340 438-573 16024-16365
LN_26_AA8312	FULL REGION -&gt; 73-340 438-573 16024-16365
LN_26_AA8335	16093Y
Đề xuất rerun:
LN_26_AA8321	1R tín hiệu giảm đột ngột	PCR-BD 1R
LN_26_AA8359	3R polyC	PCR-BD 3F, R389</t>
  </si>
  <si>
    <t>MS_260326_002_V060_T_P</t>
  </si>
  <si>
    <t>MS_260326_005_V063</t>
  </si>
  <si>
    <t>Phương xuất lại file:
LN_26_AA8634	16129R</t>
  </si>
  <si>
    <t>MS_260326_005_V063_T_P</t>
  </si>
  <si>
    <t>MS_260326_003_V061</t>
  </si>
  <si>
    <t>Xuân note:
LN_26_AA8390  3R LHP POLYC             -&gt; RERUN PCR-BD 3F, R389
LN_26_AA8394  3R LHP POLYC             -&gt; RERUN PCR-BD 3F, R389
LN_26_AA8408  1F PEAK SHOULDER
LN_26_AA8412  3R LHP  POLYC            -&gt; RERUN PCR-BD 3F, R389
LN_26_AA8415  1F NỀN CAO
LN_26_AA8449  1F DYEBLOB
LN_26_AA8453  3R POLYC                 -&gt; RERUN PCR-BD 3F, R389
Xuân xuất lại file: 
LN_26_AA8404      16182C -&gt; A
LN_26_AA8453 FULL REGION -&gt; LN_26_AA8453-73-340 438-573 16024-16365
Hùng review:
Xuất lại file:
LN_26_AA8412 343N -&gt; xóa
Đề xuất chạy lại:
LN_26_AA8394	3R polyC 	PCR-BD 3F
LN_26_AA8453	3R polyC 	PCR-BD 3F
Nam rv:
LN_26_AA8405 xóa 135Y</t>
  </si>
  <si>
    <t>MS_260326_003_V061_X_H</t>
  </si>
  <si>
    <t>Cần thay zip trên NAS(Đã thay)</t>
  </si>
  <si>
    <t>MS_260326_004_V062</t>
  </si>
  <si>
    <t>Quyên note:
LN_26_AA8490-73-302 16024-16365 LHP poly C 
Phương đề xuất rerun:
LN_26_AA8490	3R nền cao	PCR-BD 3F, R389</t>
  </si>
  <si>
    <t>MS_260326_004_V062_Q_P</t>
  </si>
  <si>
    <t>MS_260326_006_V064</t>
  </si>
  <si>
    <r>
      <rPr>
        <sz val="10"/>
        <color rgb="FF000000"/>
        <rFont val="Calibri"/>
      </rPr>
      <t>Xuân note:
LN_26_AA8677 16124 1F:Y-1R-T
Phương review:
Xuất lại file:
LN_26_AA8662</t>
    </r>
    <r>
      <rPr>
        <strike/>
        <sz val="10"/>
        <color rgb="FF000000"/>
        <rFont val="Calibri"/>
      </rPr>
      <t xml:space="preserve">	16095Y
</t>
    </r>
    <r>
      <rPr>
        <sz val="10"/>
        <color rgb="FF000000"/>
        <rFont val="Calibri"/>
      </rPr>
      <t>LN_26_AA8673	506N -&gt; 506C
Đề xuất rerun:
LN_26_AA8656	2F fail	PCR-BD 2F</t>
    </r>
  </si>
  <si>
    <t>MS_260326_006_V064_X_P</t>
  </si>
  <si>
    <t>MS_280326_001_V065</t>
  </si>
  <si>
    <t>Thủy xuất lại file
LN_26_AA8795	bỏ 16194M
Phương review:
Xuất lại file:
LN_26_AA8733 16075 T-&gt;C
LN_26_AA8748 73-302 xuất lại vùng -&gt; 73-302 322-340 438-576 16024-16365
LN_26_AA8762 16093Y
Đề xuất rerun:
LN_26_AA8772	3R polyC	PCR-BD 3F, R389
LN_26_AA8773	3R polyC	PCR-BD 3F, R389</t>
  </si>
  <si>
    <t>MS_280326_001_V065_T_P</t>
  </si>
  <si>
    <t>MS_240326_004_V056</t>
  </si>
  <si>
    <t>Quyên note:
1F nền cao, lỗi tinh sạch dye
LN_26_AA7942-73-340 438-573 16024-16365 3R polyC
LN_26_AA7980	2F tín hiệu yếu
Phương xuất lại file:
LN_26_AA7946	200R</t>
  </si>
  <si>
    <t>MS_240326_004_V056_QX_P</t>
  </si>
  <si>
    <t>MS_280326_003_V067</t>
  </si>
  <si>
    <r>
      <rPr>
        <sz val="10"/>
        <color rgb="FF000000"/>
        <rFont val="Calibri"/>
      </rPr>
      <t xml:space="preserve">Thủy xuất lại file:
LN_26_AA8983	521DEL 522DEL -&gt; 521DEL 522DEL
Phương review:
LN_26_AA8985	LHP tại 16290-16298
Xuất lại file:
</t>
    </r>
    <r>
      <rPr>
        <strike/>
        <sz val="10"/>
        <color rgb="FF000000"/>
        <rFont val="Calibri"/>
      </rPr>
      <t>LN_26_AA8922	16095Y</t>
    </r>
  </si>
  <si>
    <t>MS_280326_003_V067_T_P</t>
  </si>
  <si>
    <t>MS_280326_002_V066</t>
  </si>
  <si>
    <t>Phương review:
Nền tại đầu HV2, dương tính giả "W" tại vị trí 152
Xuất lại file:
LN_26_AA8835	152Y
LN_26_AA8857	152N</t>
  </si>
  <si>
    <t>MS_280326_002_V066_Q_P</t>
  </si>
  <si>
    <t>MS_290326_001_V069</t>
  </si>
  <si>
    <t>Xuân note: 113 MIXTURE C-A, 152 MIXTURE T-A, 2F  NHIỄU NỀN 
LN_26_AA9105  3R LHP POLYC
LN_26_AA9106  3R LHP POLYC
LN_26_AA9137  2F PEAK SHOULDER     -&gt; RERUN PCR-BD 2F
LN_26_AA9165  16162 1F:A-1R:M
Phương review:
2F dương tính giả "W" tại 152
Xuất lại file:
LN_26_AA9120	152N
LN_26_AA9151	152N
Đề xuất rerun: 
LN_26_AA9137	2F peak shoulder	PCR-BD 2F</t>
  </si>
  <si>
    <t>Chờ phê duyệt</t>
  </si>
  <si>
    <t>MS_290326_001_V069_X_P</t>
  </si>
  <si>
    <t>MS_010426_001_V070</t>
  </si>
  <si>
    <r>
      <rPr>
        <b/>
        <sz val="10"/>
        <color rgb="FFFF0000"/>
        <rFont val="Calibri"/>
      </rPr>
      <t xml:space="preserve">Mẻ có mẫu ưu tiên
</t>
    </r>
    <r>
      <rPr>
        <sz val="10"/>
        <color rgb="FF000000"/>
        <rFont val="Calibri"/>
      </rPr>
      <t>Đề xuất rerun:
LN_26_AB1609	3R polyC	PCR-BD 3F, R389
LN_26_AB1612	2F dyeblob + nền cao	PCR-BD F109, R285a</t>
    </r>
  </si>
  <si>
    <t>MS_010426_001_V070_T_P</t>
  </si>
  <si>
    <t>MS_280326_004_V068</t>
  </si>
  <si>
    <t>Quyên xuất lại file:
LN_26_AA9011 	525G xóa
LN_26_AA9028	249del
LN_26_AA9042	505A -&gt;C
LN_26_AA9051 	full-&gt;73-340 438-573 16024-16365 
LN_26_AA9080 	98G-&gt;C
Phương review:
Xuất lại file:
LN_26_AA9057 186 Y-&gt;N
LN_26_AA9080 xuất lại full vùng (do bước clean 3R bị cắt đến 570)
LN_26_AA9083 521N 523N -&gt; 521A 523A
Đề xuất rerun:
LN_26_AA9012	3R polyC	PCR-BD 3F, R389
LN_26_AA9026	3R polyC	PCR-BD 3F, R389
LN_26_AA9051	3R polyC	PCR-BD 3F
LN_26_AA9055	3R polyC	PCR-BD 3F, R389</t>
  </si>
  <si>
    <t>MS_280326_004_V068_Q_P</t>
  </si>
  <si>
    <t>MS_290326_002_V071</t>
  </si>
  <si>
    <t>Phương review:
Xuất lại file:
LN_26_AA9218	Xuất lại full vùng
Đề xuất rerun:
LN_26_AA9182	1R tín hiệu yếu		PCR-BD 1R
LN_26_AA9183	1R tín hiệu yếu		PCR-BD 1R
LN_26_AA9184	2F peak shoulder	PCR-BD 2F
LN_26_AA9196	2F peak shoulder	PCR-BD 2F
LN_26_AA9203	3R peak shoulder	PCR-BD 3F, R389
LN_26_AA9224	2F peak shoulder	PCR-BD 2F
LN_26_AA9225	3R polyC		PCR-BD 3F, R389
LN_26_AA9229	3R polyC		PCR-BD 3F
LN_26_AA9252	3R polyC		PCR-BD 3F
LN_26_AA9259	2F fail			PCR-BD 2F
LN_26_AA9261	3R peak shoulder	PCR-BD 3F, R389</t>
  </si>
  <si>
    <t>MS_290326_002_V071_X_P</t>
  </si>
  <si>
    <t>MS_290326_003_V072</t>
  </si>
  <si>
    <t>Quyên xuất lại file:
LN_26_AA9282	16093 Y-&gt;C
LN_26_AA9309	16162DEL -&gt; 16166DEL
LN_26_AA9316	16093 Y-&gt;C
LN_26_AA9324	151 Y-&gt;C
Phương review:
Đề xuất rerun:
LN_26_AA9279	3R nền cao (AC repeat)	PCR-BD 3F, R389
LN_26_AA9285	146Y? 150Y? 16295Y?	Tách lại</t>
  </si>
  <si>
    <t>MS_290326_003_V072_Q_P</t>
  </si>
  <si>
    <t>MS_300326_004_V074</t>
  </si>
  <si>
    <t>Phương review:
Xuất lại file:
LN_26_AA9677	FULL REGION -&gt; 73-302 316-340 438-576 16024-16365
Đề xuất rerun:
LN_26_AA9657	3R nền cao (AC repeat)	PCR-BD 3F, R389</t>
  </si>
  <si>
    <t>MS_300326_004_V074_T_P</t>
  </si>
  <si>
    <t>20260407_mtDNA_315_V080</t>
  </si>
  <si>
    <r>
      <rPr>
        <b/>
        <sz val="10"/>
        <color rgb="FFFF0000"/>
        <rFont val="Calibri"/>
      </rPr>
      <t xml:space="preserve">Mẻ ưu tiên
</t>
    </r>
    <r>
      <rPr>
        <sz val="10"/>
        <color rgb="FF000000"/>
        <rFont val="Calibri"/>
      </rPr>
      <t xml:space="preserve">Phương review:
</t>
    </r>
    <r>
      <rPr>
        <b/>
        <sz val="10"/>
        <color rgb="FFFF0000"/>
        <rFont val="Calibri"/>
      </rPr>
      <t xml:space="preserve">Không có NTC2 và PC2
NTC1 HV1R dương tính -&gt; Blast không ra trình tự
</t>
    </r>
    <r>
      <rPr>
        <sz val="10"/>
        <color rgb="FF000000"/>
        <rFont val="Calibri"/>
      </rPr>
      <t>Đề xuất rerun:
2553815	3R polyC	PCR-BD 3F, R389</t>
    </r>
  </si>
  <si>
    <t>20260407_mtDNA_315_V080_T_P</t>
  </si>
  <si>
    <t>MS_040426_001_V082</t>
  </si>
  <si>
    <r>
      <rPr>
        <b/>
        <sz val="10"/>
        <color rgb="FFFF0000"/>
        <rFont val="Calibri"/>
      </rPr>
      <t xml:space="preserve">Mẻ có 37/90 mẫu ưu tiên (trong đó có 4 mẫu ưu tiên cần rerun bao gồm LN_26_AB1620, LN_26_AB1628,  LN_26_AB1835
 và LN_26_AB1851)
</t>
    </r>
    <r>
      <rPr>
        <sz val="10"/>
        <color rgb="FF000000"/>
        <rFont val="Calibri"/>
      </rPr>
      <t>Phương review:
Xuất lại file:
LN_26_AB1627	full region -&gt; 73-340 438-576 16032-16365
LN_26_AB1861	16189C 16190T 16193.1C -&gt; 16188.1C (sửa theo EMPOP)
LN_26_AB1835	507 N-&gt;K
Đề xuất rerun:
LN_26_AB1620	1F dyeblob + nền cao	PCR-BD 1F
LN_26_AB1628	1F dyeblob + nền cao	PCR-BD 1F
LN_26_AB1835	507K?	PCR-BD 3F
LN_26_AB1851	1F fail	PCR-BD 1F
LN_26_AB1856	3R polyC	PCR-BD 3F, R389</t>
    </r>
  </si>
  <si>
    <t>MS_040426_001_V082_PT_P</t>
  </si>
  <si>
    <t>MS_310326_001_V075</t>
  </si>
  <si>
    <t>Phương review:
Xuất lại file:
LN_26_AA9730	313 T-&gt;Y
LN_26_AA9802	16335 R-&gt;A
Đề xuất rerun:
LN_26_AA9779	3R ngắn	PCR-BD 3F, R389</t>
  </si>
  <si>
    <t>MS_310326_001_V075_X_P</t>
  </si>
  <si>
    <t>MS_300326_001_V076</t>
  </si>
  <si>
    <t>Quyên xuất lại file:
LN_26_AA9399	309.1T -&gt; 311T 315.2C (Pattern mới)
LN_26_AA9410	16189C 16190T 16193T 16193.1C -&gt; 16188.1C 16192T
Phương review:
Xuất lại file:
LN_26_AA9409	FULL REGION -&gt; 73-302 316-340 438-576 16024-16365
LN_26_AA9426	204 Y-&gt;T
LN_26_AA9448	204 Y-&gt;T
Đề xuất rerun:
LN_26_AA9445	3R polyC	PCR-BD 3F, R389</t>
  </si>
  <si>
    <t>MS_300326_001_V076_Q_P</t>
  </si>
  <si>
    <t>MS_310326_002_V077</t>
  </si>
  <si>
    <t>Thủy xuất lại file
LN_26_AA9817	356.1C
Hùng xuất lại file
LN_26_AA9817 16057N
Đề xuất chạy lại:
LN_26_AA9832	3R polyAC	PCR-BD 3F, R389
LN_26_AA9863	3R polyC	PCR-BD 3F (mẫu này có thể không chạy lại, nhưng hồ sơ giống mẫu AA9864, mà mẫu này nền cao hơn cần chạy lại nên e cho chạy lại luôn ạ)
LN_26_AA9864	3R polyC	PCR-BD 3F, R389
LN_26_AA9868	2F nền cao, 3R polyC	PCR-BD R285a, 3F, R389
LN_26_AA9871	3R polyC	PCR-BD 3F, R389
LN_26_AA9875	3R polyC	PCR-BD 3F, R389
LN_26_AA9883	3R polyC	PCR-BD 3F, R389</t>
  </si>
  <si>
    <t>MS_310326_002_V077_T_H</t>
  </si>
  <si>
    <t>MS_310326_003_V078</t>
  </si>
  <si>
    <t>Xuân QC:
112 MIXTURE C-A
152 MIXTURE T-A
HIỆN TƯỢNG FALSE POSITVE PHỔ BIẾN         -&gt; KHÓ XÁC ĐỊNH CHÍNH XÁC NU
Xuân xuất lại file: 
LN_26_AA9908 302.1C -&gt; 309.1C
LN_26_AA9950 RP THEO DOMINANT PEAK
Phương review:
Dương tính giả "M" tại 112 và "W" tại 152
Xuất lại file:
LN_26_AA9908	324N
LN_26_AA9915	FULL REGION -&gt; 73-340 438-573 16024-16365
LN_26_AA9926	106N 148N 149N -&gt; 106G 148A 149T
LN_26_AA9938	16075 C-&gt;Y (mẻ này không có dấu hiệu nhiễu nền tại vị trí 16075 -&gt; khả năng cao vị trí 16075 của mẫu này là hetero)
LN_26_AA9946	112N
LN_26_AA9955	506 N-&gt;C
Đề xuất rerun:
LN_26_AA9904	3R polyC	PCR-BD 3F, R389
LN_26_AA9923	3R poly AC	PCR-BD 3F, R389
LN_26_AA9931	3R polyC	PCR-BD 3F, R389
LN_26_AA9961	2F nền cao	PCR-BD R285a
LN_26_AA9974	3R polyC	PCR-BD 3F, R389</t>
  </si>
  <si>
    <t>MS_310326_003_V078_X_P</t>
  </si>
  <si>
    <t>MS_300326_002_V081</t>
  </si>
  <si>
    <t>Quyên xuất lại:
LN_26_AA9460 full -&gt; 73-340 438-573 16024-16365
LN_26_AA9492 full -&gt; 73-302 16024-16365
Phương review:
PC1 HV1R peak shoulder
HV2F nền cao
Đề xuất rerun:
LN_26_AA9468	2F nền cao, 3R polyC	PCR-BD R285a, 3F, R389
LN_26_AA9481	2F nền cao, 3R polyC, 16360Y? 	PCR-BD F109, R285a, 3F, R389, 1R
LN_26_AA9482	2F nền cao, 3R polyC	PCR-BD F109, R285a, 3F, R389
LN_26_AA9490	3R ngắn	PCR-BD 3F, R389
LN_26_AA9492	2F nền cao, 3R polyC	PCR-BD R285a, 3F, R389
LN_26_AA9497	3R ngắn	PCR-BD 3F, R389</t>
  </si>
  <si>
    <t>MS_300326_002_V081_Q_P</t>
  </si>
  <si>
    <t>Batch mtDNA</t>
  </si>
  <si>
    <t>Sequence Released Date</t>
  </si>
  <si>
    <t>No. of Samples</t>
  </si>
  <si>
    <t>Analysis Code</t>
  </si>
  <si>
    <t>Batch mtDNA-Analysis Code</t>
  </si>
  <si>
    <t>Analyst(s)</t>
  </si>
  <si>
    <t>Batch Receive Time</t>
  </si>
  <si>
    <t>No. of Samples Analysed by Sequencher</t>
  </si>
  <si>
    <t>Sequencher Analysis Transfer Time</t>
  </si>
  <si>
    <t>1st Review</t>
  </si>
  <si>
    <t>2nd Review</t>
  </si>
  <si>
    <t>No. of Samples Passed by Sequencher Analysis (1st run)</t>
  </si>
  <si>
    <t>No. of Samples Passed by Sequencher Analysis (rerun)</t>
  </si>
  <si>
    <t>No. of Samples Passed by Sequencher Analysis Transfered to Next Stage</t>
  </si>
  <si>
    <t>Sequencher Analysis Results from Lab to Sciences Date</t>
  </si>
  <si>
    <t>Sequencher Analysis (Batches)</t>
  </si>
  <si>
    <t>Sequencher vs Pipeline Comparison</t>
  </si>
  <si>
    <t>Regenerated Reports by the Science Team</t>
  </si>
  <si>
    <t>Regenerated Reports Realeased Date</t>
  </si>
  <si>
    <t>Numbers of Reports Released</t>
  </si>
  <si>
    <t>Reports Check by Nam</t>
  </si>
  <si>
    <t>Final Reports</t>
  </si>
  <si>
    <t>Note1</t>
  </si>
  <si>
    <t>Done</t>
  </si>
  <si>
    <t>Run1 Analysis Results Released Date</t>
  </si>
  <si>
    <t>Rerun Analysis Results Released Date</t>
  </si>
  <si>
    <t>Note 2</t>
  </si>
  <si>
    <t>Sum of samples</t>
  </si>
  <si>
    <t>-</t>
  </si>
  <si>
    <t>HY</t>
  </si>
  <si>
    <t>Remaining samples</t>
  </si>
  <si>
    <t>N (Ms)</t>
  </si>
  <si>
    <t>Released</t>
  </si>
  <si>
    <t>Tiền Giang</t>
  </si>
  <si>
    <t>4 mẫu lab chạy lại từ PCR</t>
  </si>
  <si>
    <t>Nghệ An - Hà Tĩnh</t>
  </si>
  <si>
    <t>4 mẫu lab chạy lại PCR-bigdye 3F, 2 mẫu chạy lại từ tách chiết</t>
  </si>
  <si>
    <t>DONE</t>
  </si>
  <si>
    <t>Nghệ An - Hà Tĩnh (2 mẫu đã chạy xác minh, trả ở batch 28)</t>
  </si>
  <si>
    <t>253034: yc chạy BS HV3F</t>
  </si>
  <si>
    <t>T, Q, N (Ms)</t>
  </si>
  <si>
    <t>2 mẫu 252251, 252278 (mt22, nhóm mẫu Nghệ An - Hà Tĩnh) đã được chạy lại từ tách chiết và xác nhận đúng KQ. 8 mẫu yc chạy BS</t>
  </si>
  <si>
    <t>Hà Nam + 2 Nghệ An - Hà Tĩnh</t>
  </si>
  <si>
    <t>lưu ý 253888 có del ở 16166. 4 mẫu yc chạy BS</t>
  </si>
  <si>
    <t> </t>
  </si>
  <si>
    <t>Hà Nam (1 mẫu thuộc ca Đức Cơ)</t>
  </si>
  <si>
    <t>T, N (Ms)</t>
  </si>
  <si>
    <t>4 mẫu chạy BS</t>
  </si>
  <si>
    <t>3 mẫu chạy BS</t>
  </si>
  <si>
    <t>Hà Nam</t>
  </si>
  <si>
    <t>Q, N (Ms)</t>
  </si>
  <si>
    <t>2 mẫu chạy BS</t>
  </si>
  <si>
    <t>1 mẫu chạy BS</t>
  </si>
  <si>
    <t>1 mẫu tách lại, 1 mẫu chạy BS</t>
  </si>
  <si>
    <t>Hà Nam (lặp 1 mẫu chạy lại từ bước tách, trả KQ ở batch mt52)</t>
  </si>
  <si>
    <t>1 mẫu tách lại</t>
  </si>
  <si>
    <t>4 mẫu chạy lại</t>
  </si>
  <si>
    <t>Hà Nam + 13 Đức Cơ</t>
  </si>
  <si>
    <t>Hà Nam + 2 Đức Cơ</t>
  </si>
  <si>
    <t>HQ</t>
  </si>
  <si>
    <t>Hà Nam (1 mẫu tách lại ở mt153, trả KQ tương ứng mt153)</t>
  </si>
  <si>
    <t>P</t>
  </si>
  <si>
    <t>T</t>
  </si>
  <si>
    <t>Hà Nam + 71 Đức Cơ (trong đó 1 Hà Nam)</t>
  </si>
  <si>
    <t>H</t>
  </si>
  <si>
    <t>Q</t>
  </si>
  <si>
    <t>Hà Nam +  8 Đức Cơ</t>
  </si>
  <si>
    <t>Hà Nam + 29 Đức Cơ</t>
  </si>
  <si>
    <t>Hà Nam + 1 Đức Cơ</t>
  </si>
  <si>
    <t>QR</t>
  </si>
  <si>
    <t>HT</t>
  </si>
  <si>
    <t>Hà Nam + 15 Đức Cơ</t>
  </si>
  <si>
    <t xml:space="preserve">Hà Nam + 2 Đức Cơ </t>
  </si>
  <si>
    <t>Hà Nam (1 mẫu lặp lại từ bước tách)</t>
  </si>
  <si>
    <t>PQR</t>
  </si>
  <si>
    <t>R</t>
  </si>
  <si>
    <t>HR</t>
  </si>
  <si>
    <t>PR</t>
  </si>
  <si>
    <t>Hà Nam + 4 Lâm Đồng</t>
  </si>
  <si>
    <t>Hà Nam (1 mẫu hold theo yêu cầu của lab)</t>
  </si>
  <si>
    <t>Hà Nam + 39 Thái Bình</t>
  </si>
  <si>
    <t>Thái Bình</t>
  </si>
  <si>
    <t>Thái Bình + 16 Quảng Trị + 30 Quảng Bình</t>
  </si>
  <si>
    <t>PT</t>
  </si>
  <si>
    <t>Thái Bình + 18 Quảng Nam</t>
  </si>
  <si>
    <t xml:space="preserve">Thái Bình </t>
  </si>
  <si>
    <t>HP</t>
  </si>
  <si>
    <t>Thái Bình + 8 Quảng Ngãi + 1 Hà Nam + 46 Bình Định</t>
  </si>
  <si>
    <t>HTQ</t>
  </si>
  <si>
    <t>Thái Bình + 4 Bắc Giang + 15 Quảng Nam + 3 Quảng Ninh + 12 Huế</t>
  </si>
  <si>
    <t>Thái Bình + 13 Bắc Giang</t>
  </si>
  <si>
    <t>Thái Bình + 30 Bắc Giang</t>
  </si>
  <si>
    <t>45 Quảng Ngãi + 34 Thái Bình + 11 Nam ĐỊnh</t>
  </si>
  <si>
    <t>Thái Bình + 6 Nam Định</t>
  </si>
  <si>
    <t>Thái Bình + 7 Nam Định + 16 Phú Yên</t>
  </si>
  <si>
    <t>Thái Bình + 10 Khánh Hòa + 3 Nam Định</t>
  </si>
  <si>
    <t>Thái Bình + 20 Khánh Hòa</t>
  </si>
  <si>
    <t>Thái Bình + 24 Nam Định</t>
  </si>
  <si>
    <t>Thái Bình + 71 Nam Định</t>
  </si>
  <si>
    <t>Thái Bình + 3 Khánh Hòa + 5 Ninh Thuận + 3 Nam ĐỊnh</t>
  </si>
  <si>
    <t>Thái Bình + 47 Vĩnh Phúc + 20 Thái Nguyên + 3 Ninh Thuận</t>
  </si>
  <si>
    <t>Thái Bình + 33 Vĩnh Phúc + 14 Hòa Bình + 9 Sơn La + 10 Thái Nguyên</t>
  </si>
  <si>
    <t>Thái Binh + 8 Bắc Ninh + 11 Quảng Bình + 13 Thanh Hóa + 4 Đức Cơ</t>
  </si>
  <si>
    <t>163_L2</t>
  </si>
  <si>
    <t>Thanh Hóa</t>
  </si>
  <si>
    <t>Bình Thuận + Thái Bình + Thái Nguyên + Tuyên Quang + Bắc Kạn</t>
  </si>
  <si>
    <t>Thái Bình + 26 Phú Thọ + Tuyên Quang  + Thái Nguyên + Tuyên Quang + Bắc Kạn</t>
  </si>
  <si>
    <t>Thái Bình + 20 Cao Bằng + 40 Phú Thọ + 6 Điện Biên</t>
  </si>
  <si>
    <t>Thái Bình + Tuyên Quang + Lâm Đồng  + Thái Nguyên</t>
  </si>
  <si>
    <t>Thanh Hóa + Yên Bái + Thái Bình + 2 Đức Cơ</t>
  </si>
  <si>
    <t>Thanh Hóa + Yên Bái + Hà Giang + 1 Đức Cơ</t>
  </si>
  <si>
    <t>TQ</t>
  </si>
  <si>
    <t>Thanh Hóa + Thái Bình + 30 mẫu ưu tiên</t>
  </si>
  <si>
    <t>Lâm Đồng + Thái Bình + Tuyên Quang + Bắc Kạn + Thái Nguyên</t>
  </si>
  <si>
    <t>Cao Bằng + ĐẮK NÔNG + Thái Bình + Điện Biên + Phú Thọ</t>
  </si>
  <si>
    <t>Phú Thọ + Lạng Sơn + Thái Bình</t>
  </si>
  <si>
    <t>HTP</t>
  </si>
  <si>
    <t>Phú Thọ + Lạng Sơn + Thái Bình + Đắc Lắk + Thanh Hóa</t>
  </si>
  <si>
    <t>Thái Bình + Phú Thọ + Gia Lai + Lai Châu</t>
  </si>
  <si>
    <t>Phú Thọ + Yên Bái + Gia Lai + lạng Sơn + Kontum</t>
  </si>
  <si>
    <t>Phú Thọ + Thanh Hóa</t>
  </si>
  <si>
    <t>Bắc Ninh + Thanh Hóa + Lào Cai</t>
  </si>
  <si>
    <t>Thanh Hóa + Yên Bái</t>
  </si>
  <si>
    <t>Thanh Hóa + Vĩnh Phúc</t>
  </si>
  <si>
    <t>Thanh Hóa + 8 mẫu ưu tiên</t>
  </si>
  <si>
    <t>HPQT</t>
  </si>
  <si>
    <t>HPQTX</t>
  </si>
  <si>
    <t>N</t>
  </si>
  <si>
    <t>XT</t>
  </si>
  <si>
    <t>Thanh Hóa + 9 ưu tiên</t>
  </si>
  <si>
    <t>TP</t>
  </si>
  <si>
    <t>Thanh Hóa + 1 ưu tiên</t>
  </si>
  <si>
    <t>X</t>
  </si>
  <si>
    <t>QP</t>
  </si>
  <si>
    <t>PQ</t>
  </si>
  <si>
    <t>HTX</t>
  </si>
  <si>
    <t>HX</t>
  </si>
  <si>
    <t>PN</t>
  </si>
  <si>
    <t>HN</t>
  </si>
  <si>
    <t>Thanh Hóa + Cà Mau + Kiên Giang + Sơn La</t>
  </si>
  <si>
    <t>Thanh Hóa + 1 ưu tiên Bình phước</t>
  </si>
  <si>
    <t>Thanh Hóa + 7 ưu tiên</t>
  </si>
  <si>
    <t>Thanh Hóa + 3 ưu tiên</t>
  </si>
  <si>
    <t>Thanh Hóa + 1 ưu tiên Sơn La</t>
  </si>
  <si>
    <t>Thanh Hóa + 2 ưu tiên Đức Cơ</t>
  </si>
  <si>
    <t>PQT</t>
  </si>
  <si>
    <t>MS_091025_001</t>
  </si>
  <si>
    <t>Thanh Hóa - test hệ thống</t>
  </si>
  <si>
    <t xml:space="preserve"> Phê duyệt trên LIMS</t>
  </si>
  <si>
    <t>Back up trên NAS (88o90_20251125)</t>
  </si>
  <si>
    <t>Thanh Hóa + 2 ưu tiên Ninh Bình</t>
  </si>
  <si>
    <t>278_L1</t>
  </si>
  <si>
    <t>Thanh Hóa + 12 ưu tiên</t>
  </si>
  <si>
    <t>278_L2</t>
  </si>
  <si>
    <t>QX</t>
  </si>
  <si>
    <t>MS_111125_001</t>
  </si>
  <si>
    <r>
      <rPr>
        <sz val="11"/>
        <color rgb="FFFF0000"/>
        <rFont val="Aptos Narrow"/>
        <family val="2"/>
        <scheme val="minor"/>
      </rPr>
      <t xml:space="preserve">Review lần 2 qua excel (251128). </t>
    </r>
    <r>
      <rPr>
        <b/>
        <sz val="11"/>
        <color rgb="FF00B0F0"/>
        <rFont val="Aptos Narrow"/>
        <family val="2"/>
        <scheme val="minor"/>
      </rPr>
      <t>Phê duyệt trên LIMS (251203)</t>
    </r>
  </si>
  <si>
    <t>Back up trên NAS (89o90_20251128)</t>
  </si>
  <si>
    <t>MS_121125_001</t>
  </si>
  <si>
    <t>Phê duyệt trên LIMS</t>
  </si>
  <si>
    <t>Back up trên NAS  (86o90_20251120)</t>
  </si>
  <si>
    <t>MS_181125_001</t>
  </si>
  <si>
    <t>Hưng Yên</t>
  </si>
  <si>
    <t>Back up trên NAS  (86o90_20251121)</t>
  </si>
  <si>
    <t>MS_171125_002</t>
  </si>
  <si>
    <t>Back up trên NAS (89o90_20251125)</t>
  </si>
  <si>
    <t>MS_191125_001</t>
  </si>
  <si>
    <r>
      <rPr>
        <sz val="11"/>
        <color rgb="FFFF0000"/>
        <rFont val="Aptos Narrow"/>
        <family val="2"/>
        <scheme val="minor"/>
      </rPr>
      <t>Chờ phê duyệt (</t>
    </r>
    <r>
      <rPr>
        <b/>
        <sz val="11"/>
        <color rgb="FFFF0000"/>
        <rFont val="Aptos Narrow"/>
        <family val="2"/>
        <scheme val="minor"/>
      </rPr>
      <t>updated 251205</t>
    </r>
    <r>
      <rPr>
        <sz val="11"/>
        <color rgb="FFFF0000"/>
        <rFont val="Aptos Narrow"/>
        <family val="2"/>
        <scheme val="minor"/>
      </rPr>
      <t xml:space="preserve">), rv2 qua file compare excel (251128), </t>
    </r>
    <r>
      <rPr>
        <b/>
        <sz val="11"/>
        <color rgb="FF00B0F0"/>
        <rFont val="Aptos Narrow"/>
        <family val="2"/>
        <scheme val="minor"/>
      </rPr>
      <t>Phê duyệt trên LIMS (251209)</t>
    </r>
  </si>
  <si>
    <t>Back up trên NAS (87o90_20251128)</t>
  </si>
  <si>
    <t>MS_191125_002</t>
  </si>
  <si>
    <r>
      <rPr>
        <sz val="11"/>
        <color rgb="FFFF0000"/>
        <rFont val="Aptos Narrow"/>
        <family val="2"/>
        <scheme val="minor"/>
      </rPr>
      <t xml:space="preserve">Review lần 1 và 2 trên excel (251201). </t>
    </r>
    <r>
      <rPr>
        <b/>
        <sz val="11"/>
        <color rgb="FF00B0F0"/>
        <rFont val="Aptos Narrow"/>
        <family val="2"/>
        <scheme val="minor"/>
      </rPr>
      <t>Phê duyệt trên LIMS (251203)</t>
    </r>
  </si>
  <si>
    <t>Back up trên NAS (88o90_20251201)</t>
  </si>
  <si>
    <t>MS_191125_003</t>
  </si>
  <si>
    <r>
      <rPr>
        <b/>
        <sz val="11"/>
        <color rgb="FF00B0F0"/>
        <rFont val="Aptos Narrow"/>
        <family val="2"/>
        <scheme val="minor"/>
      </rPr>
      <t>Phê duyệt trên LIMS (update 251204</t>
    </r>
    <r>
      <rPr>
        <sz val="11"/>
        <color rgb="FF00B0F0"/>
        <rFont val="Aptos Narrow"/>
        <family val="2"/>
        <scheme val="minor"/>
      </rPr>
      <t>)</t>
    </r>
    <r>
      <rPr>
        <sz val="11"/>
        <color rgb="FFFF0000"/>
        <rFont val="Aptos Narrow"/>
        <family val="2"/>
        <scheme val="minor"/>
      </rPr>
      <t>, rv2 qua file compare excel (251128)</t>
    </r>
  </si>
  <si>
    <t>Back up trên NAS (90o90_20251128)</t>
  </si>
  <si>
    <t>MS_191125_004</t>
  </si>
  <si>
    <r>
      <rPr>
        <b/>
        <sz val="11"/>
        <color rgb="FF00B0F0"/>
        <rFont val="Aptos Narrow"/>
        <family val="2"/>
        <scheme val="minor"/>
      </rPr>
      <t xml:space="preserve">Phê duyệt trên LIMS </t>
    </r>
    <r>
      <rPr>
        <sz val="11"/>
        <color rgb="FF00B0F0"/>
        <rFont val="Aptos Narrow"/>
        <family val="2"/>
        <scheme val="minor"/>
      </rPr>
      <t>(</t>
    </r>
    <r>
      <rPr>
        <b/>
        <sz val="11"/>
        <color rgb="FF00B0F0"/>
        <rFont val="Aptos Narrow"/>
        <family val="2"/>
        <scheme val="minor"/>
      </rPr>
      <t>update 251203</t>
    </r>
    <r>
      <rPr>
        <sz val="11"/>
        <color rgb="FF00B0F0"/>
        <rFont val="Aptos Narrow"/>
        <family val="2"/>
        <scheme val="minor"/>
      </rPr>
      <t>)</t>
    </r>
    <r>
      <rPr>
        <sz val="11"/>
        <color rgb="FFFF0000"/>
        <rFont val="Aptos Narrow"/>
        <family val="2"/>
        <scheme val="minor"/>
      </rPr>
      <t>, rv2 qua file compare excel (251128)</t>
    </r>
  </si>
  <si>
    <t>MS_211125_001</t>
  </si>
  <si>
    <r>
      <rPr>
        <sz val="11"/>
        <color rgb="FFFF0000"/>
        <rFont val="Aptos Narrow"/>
        <family val="2"/>
        <scheme val="minor"/>
      </rPr>
      <t>LIMS chưa fix lỗi compare (</t>
    </r>
    <r>
      <rPr>
        <b/>
        <sz val="11"/>
        <color rgb="FFFF0000"/>
        <rFont val="Aptos Narrow"/>
        <family val="2"/>
        <scheme val="minor"/>
      </rPr>
      <t>update 251203???</t>
    </r>
    <r>
      <rPr>
        <sz val="11"/>
        <color rgb="FFFF0000"/>
        <rFont val="Aptos Narrow"/>
        <family val="2"/>
        <scheme val="minor"/>
      </rPr>
      <t xml:space="preserve">), rv1 trên excel. rv2 trên excel (251201), </t>
    </r>
    <r>
      <rPr>
        <b/>
        <sz val="11"/>
        <color rgb="FF00B0F0"/>
        <rFont val="Aptos Narrow"/>
        <family val="2"/>
        <scheme val="minor"/>
      </rPr>
      <t>Phê duyệt trên LIMS (update 251203)</t>
    </r>
  </si>
  <si>
    <t>MS_211125_002</t>
  </si>
  <si>
    <t>TH</t>
  </si>
  <si>
    <r>
      <rPr>
        <sz val="11"/>
        <color rgb="FF00B0F0"/>
        <rFont val="Aptos Narrow"/>
        <family val="2"/>
        <scheme val="minor"/>
      </rPr>
      <t>Phê duyệt trên LIMS (</t>
    </r>
    <r>
      <rPr>
        <b/>
        <sz val="11"/>
        <color rgb="FF00B0F0"/>
        <rFont val="Aptos Narrow"/>
        <family val="2"/>
        <scheme val="minor"/>
      </rPr>
      <t>update 251204</t>
    </r>
    <r>
      <rPr>
        <sz val="11"/>
        <color rgb="FF00B0F0"/>
        <rFont val="Aptos Narrow"/>
        <family val="2"/>
        <scheme val="minor"/>
      </rPr>
      <t>),</t>
    </r>
    <r>
      <rPr>
        <sz val="11"/>
        <color rgb="FFFF0000"/>
        <rFont val="Aptos Narrow"/>
        <family val="2"/>
        <scheme val="minor"/>
      </rPr>
      <t xml:space="preserve"> rv1 trên excel,  rv2 trên excel (251201)</t>
    </r>
  </si>
  <si>
    <t>Back up trên NAS (85o90_20251201)</t>
  </si>
  <si>
    <t>MS_211125_003</t>
  </si>
  <si>
    <r>
      <rPr>
        <sz val="11"/>
        <color rgb="FFFF0000"/>
        <rFont val="Aptos Narrow"/>
        <family val="2"/>
        <scheme val="minor"/>
      </rPr>
      <t xml:space="preserve">Review lần 1 và 2 trên excel (251201); </t>
    </r>
    <r>
      <rPr>
        <b/>
        <sz val="11"/>
        <color rgb="FF00B0F0"/>
        <rFont val="Aptos Narrow"/>
        <family val="2"/>
        <scheme val="minor"/>
      </rPr>
      <t>Phê duyệt trên LIMS (251203)</t>
    </r>
  </si>
  <si>
    <t>Back up trên NAS (89o90_20251201)</t>
  </si>
  <si>
    <t>MS_211125_004</t>
  </si>
  <si>
    <r>
      <rPr>
        <sz val="11"/>
        <color rgb="FFFF0000"/>
        <rFont val="Aptos Narrow"/>
        <family val="2"/>
        <scheme val="minor"/>
      </rPr>
      <t>Review lần 1 trên LIMS (251201),</t>
    </r>
    <r>
      <rPr>
        <b/>
        <sz val="11"/>
        <color rgb="FF00B0F0"/>
        <rFont val="Aptos Narrow"/>
        <family val="2"/>
        <scheme val="minor"/>
      </rPr>
      <t xml:space="preserve"> phê duyệt trên LIMS (251203)</t>
    </r>
  </si>
  <si>
    <t>Back up trên NAS (89o90_251204)</t>
  </si>
  <si>
    <t>MS_211125_005</t>
  </si>
  <si>
    <r>
      <rPr>
        <sz val="11"/>
        <color rgb="FFFF0000"/>
        <rFont val="Aptos Narrow"/>
        <family val="2"/>
        <scheme val="minor"/>
      </rPr>
      <t xml:space="preserve">Review lần 1 trên LIMS (251201), </t>
    </r>
    <r>
      <rPr>
        <b/>
        <sz val="11"/>
        <color rgb="FF00B0F0"/>
        <rFont val="Aptos Narrow"/>
        <family val="2"/>
        <scheme val="minor"/>
      </rPr>
      <t>phê duyệt trên LIMS (251205)</t>
    </r>
  </si>
  <si>
    <t>Back up trên NAS (89o90_251205)</t>
  </si>
  <si>
    <t>MS_211125_006</t>
  </si>
  <si>
    <r>
      <rPr>
        <sz val="11"/>
        <color rgb="FFFF0000"/>
        <rFont val="Aptos Narrow"/>
        <family val="2"/>
        <scheme val="minor"/>
      </rPr>
      <t xml:space="preserve">Review lần 1 và 2 trên  excel (251202). </t>
    </r>
    <r>
      <rPr>
        <b/>
        <sz val="11"/>
        <color rgb="FF00B0F0"/>
        <rFont val="Aptos Narrow"/>
        <family val="2"/>
        <scheme val="minor"/>
      </rPr>
      <t>Phê duyệt trên LIMS (251203)</t>
    </r>
  </si>
  <si>
    <t>Back up trên NAS (89o90_20251202)</t>
  </si>
  <si>
    <t>MS_211125_007</t>
  </si>
  <si>
    <r>
      <rPr>
        <sz val="11"/>
        <color rgb="FFFF0000"/>
        <rFont val="Aptos Narrow"/>
        <family val="2"/>
        <scheme val="minor"/>
      </rPr>
      <t xml:space="preserve">Review lần 1 trên exel (251201), Review lần 2 trên  excel (251202). </t>
    </r>
    <r>
      <rPr>
        <b/>
        <sz val="11"/>
        <color rgb="FF00B0F0"/>
        <rFont val="Aptos Narrow"/>
        <family val="2"/>
        <scheme val="minor"/>
      </rPr>
      <t>Phê duyệt trên LIMS (251203)</t>
    </r>
  </si>
  <si>
    <t>Back up trên NAS (88o90_20251202)</t>
  </si>
  <si>
    <t>MS_211125_008</t>
  </si>
  <si>
    <r>
      <rPr>
        <sz val="11"/>
        <color rgb="FFFF0000"/>
        <rFont val="Aptos Narrow"/>
        <family val="2"/>
        <scheme val="minor"/>
      </rPr>
      <t xml:space="preserve">Review lần 1 trên exel (251202), </t>
    </r>
    <r>
      <rPr>
        <b/>
        <sz val="11"/>
        <color rgb="FF00B0F0"/>
        <rFont val="Aptos Narrow"/>
        <family val="2"/>
        <scheme val="minor"/>
      </rPr>
      <t>Phê duyệt trên LIMS (251204)</t>
    </r>
  </si>
  <si>
    <t>Back up trên NAS (87o90_251204)</t>
  </si>
  <si>
    <t>MS_251125_001</t>
  </si>
  <si>
    <t>Back up trên NAS (88o90_251204)</t>
  </si>
  <si>
    <t>MS_251125_002</t>
  </si>
  <si>
    <t>Phê duyệt trên LIMS (251204)</t>
  </si>
  <si>
    <t>MS_251125_003</t>
  </si>
  <si>
    <t>Đã up LIMS (251203), rv1 (excel), rv1 (LIM) (251203)</t>
  </si>
  <si>
    <t>Back up trên NAS (86o90_251209)</t>
  </si>
  <si>
    <t>MS_251125_004</t>
  </si>
  <si>
    <r>
      <rPr>
        <sz val="11"/>
        <color rgb="FF00B0F0"/>
        <rFont val="Aptos Narrow"/>
        <family val="2"/>
        <scheme val="minor"/>
      </rPr>
      <t xml:space="preserve">Review lần 1 trên excel (251202), Đã up LIMS, </t>
    </r>
    <r>
      <rPr>
        <b/>
        <sz val="11"/>
        <color rgb="FF00B0F0"/>
        <rFont val="Aptos Narrow"/>
        <family val="2"/>
        <scheme val="minor"/>
      </rPr>
      <t>Phê duyệt trên LIMS (251204)</t>
    </r>
  </si>
  <si>
    <t>MS_251125_005</t>
  </si>
  <si>
    <r>
      <rPr>
        <sz val="11"/>
        <color rgb="FFFF0000"/>
        <rFont val="Aptos Narrow"/>
        <family val="2"/>
        <scheme val="minor"/>
      </rPr>
      <t xml:space="preserve">Review lần 1 trên excel (251204), rv2 excel -&gt; Tải file final lên LIMS, </t>
    </r>
    <r>
      <rPr>
        <b/>
        <sz val="11"/>
        <color rgb="FF00B0F0"/>
        <rFont val="Aptos Narrow"/>
        <family val="2"/>
        <scheme val="minor"/>
      </rPr>
      <t>Phê duyệt LIMS (251205)</t>
    </r>
  </si>
  <si>
    <t>Back up trên NAS (85o90_251205)</t>
  </si>
  <si>
    <t>MS_251125_006</t>
  </si>
  <si>
    <t>Back up trên NAS (90o90_251205)</t>
  </si>
  <si>
    <t>MS_281125_001</t>
  </si>
  <si>
    <r>
      <rPr>
        <sz val="11"/>
        <color rgb="FFFF0000"/>
        <rFont val="Aptos Narrow"/>
        <family val="2"/>
        <scheme val="minor"/>
      </rPr>
      <t xml:space="preserve">Review lần 1 trên excel (251205), rv2 excel -&gt; Tải file final lên LIMS, </t>
    </r>
    <r>
      <rPr>
        <b/>
        <sz val="11"/>
        <color rgb="FF00B0F0"/>
        <rFont val="Aptos Narrow"/>
        <family val="2"/>
        <scheme val="minor"/>
      </rPr>
      <t>Phê duyệt LIMS (251205)</t>
    </r>
  </si>
  <si>
    <t>Back up trên NAS (88o90_251205)</t>
  </si>
  <si>
    <t>MS_281125_002</t>
  </si>
  <si>
    <t>MS_281125_003</t>
  </si>
  <si>
    <t>Back up trên NAS (89o90_251208)</t>
  </si>
  <si>
    <t>MS_281125_004</t>
  </si>
  <si>
    <t>Back up trên NAS (88o90_251208)</t>
  </si>
  <si>
    <t>MS_281125_005</t>
  </si>
  <si>
    <t>MS_281125_006</t>
  </si>
  <si>
    <t>Review lần 1 trên excel (251209), rv2 excel , trả qua email nhưng viết nhầm là đã phê duyệt trên LIMS&gt; Tải file final lên LIMS (251210), Đang chờ  phê LIMS</t>
  </si>
  <si>
    <t>Back up trên NAS (88o90_251209)</t>
  </si>
  <si>
    <t>MS_281125_007</t>
  </si>
  <si>
    <t>MS_281125_008</t>
  </si>
  <si>
    <t>Back up trên NAS (87o90_251209)</t>
  </si>
  <si>
    <t>MS_301125_001</t>
  </si>
  <si>
    <t>MS_301125_002</t>
  </si>
  <si>
    <t>MS_301125_003</t>
  </si>
  <si>
    <t>MS_301125_004</t>
  </si>
  <si>
    <t>MS_031225_001</t>
  </si>
  <si>
    <t>QH</t>
  </si>
  <si>
    <t>MS_031225_002</t>
  </si>
  <si>
    <t>XH</t>
  </si>
  <si>
    <t>MS_031225_003</t>
  </si>
  <si>
    <t>MS_061225_002</t>
  </si>
  <si>
    <t>MS_061225_003</t>
  </si>
  <si>
    <t>MS_061225_005</t>
  </si>
  <si>
    <t>MS_061225_008</t>
  </si>
  <si>
    <t>MS_061225_001</t>
  </si>
  <si>
    <t>MS_061225_004</t>
  </si>
  <si>
    <t>MS_111225_001</t>
  </si>
  <si>
    <t>MS_031225_004</t>
  </si>
  <si>
    <t>MS_031225_005</t>
  </si>
  <si>
    <t>MS_061225_006</t>
  </si>
  <si>
    <t>MS_061225_010</t>
  </si>
  <si>
    <t>MS_061225_007</t>
  </si>
  <si>
    <t>MS_061225_009</t>
  </si>
  <si>
    <t>MS_121225_002</t>
  </si>
  <si>
    <t>MS_151225_001</t>
  </si>
  <si>
    <t>MS_151225_002</t>
  </si>
  <si>
    <t>MS_151225_003</t>
  </si>
  <si>
    <t>MS_151225_004</t>
  </si>
  <si>
    <t>MS_121225_001</t>
  </si>
  <si>
    <t>MS_221225_001</t>
  </si>
  <si>
    <t>MS_181225_002</t>
  </si>
  <si>
    <t>MS_181225_001</t>
  </si>
  <si>
    <t>MS_181225_003</t>
  </si>
  <si>
    <t>MS_151225_005</t>
  </si>
  <si>
    <t>MS_181225_004</t>
  </si>
  <si>
    <t>MS_181225_005</t>
  </si>
  <si>
    <t>MS_181225_006</t>
  </si>
  <si>
    <t>MS_231225_001</t>
  </si>
  <si>
    <t>MS_231225_002</t>
  </si>
  <si>
    <t>MS_221225_002</t>
  </si>
  <si>
    <t>MS_241225_001</t>
  </si>
  <si>
    <t>MS_241225_002</t>
  </si>
  <si>
    <t>MS_241225_004</t>
  </si>
  <si>
    <t>MS_060126_002</t>
  </si>
  <si>
    <t>MS_060126_001</t>
  </si>
  <si>
    <t>MS_050126_001</t>
  </si>
  <si>
    <t>MS_241225_003</t>
  </si>
  <si>
    <t>MS_060126_003</t>
  </si>
  <si>
    <t>MS_060126_004</t>
  </si>
  <si>
    <t>MS_060126_005</t>
  </si>
  <si>
    <t>MS_070126_001</t>
  </si>
  <si>
    <t>MS_070126_002</t>
  </si>
  <si>
    <t>MS_100126_001</t>
  </si>
  <si>
    <t>PX</t>
  </si>
  <si>
    <t>MS_100126_002</t>
  </si>
  <si>
    <t>MS_120126_001</t>
  </si>
  <si>
    <t>MS_120126_002</t>
  </si>
  <si>
    <t>MS_120126_003</t>
  </si>
  <si>
    <t>MS_140126_003</t>
  </si>
  <si>
    <t>MS_140126_001</t>
  </si>
  <si>
    <t>MS_140126_002</t>
  </si>
  <si>
    <t>MS_150126_001</t>
  </si>
  <si>
    <t>MS_150126_002</t>
  </si>
  <si>
    <t>MS_150126_004</t>
  </si>
  <si>
    <t>MS_150126_005</t>
  </si>
  <si>
    <t>MS_150126_006</t>
  </si>
  <si>
    <t>MS_170126_002</t>
  </si>
  <si>
    <t>MS_170126_003</t>
  </si>
  <si>
    <t>MS_190126_001</t>
  </si>
  <si>
    <t>MS_190126_002</t>
  </si>
  <si>
    <t>MS_260126_001</t>
  </si>
  <si>
    <t>Tp. HCM</t>
  </si>
  <si>
    <t>QTX</t>
  </si>
  <si>
    <t>26/03/05 11:15 AM</t>
  </si>
  <si>
    <t>26/03/10 4:09 PM</t>
  </si>
  <si>
    <t>26/03/11 10:44 AM</t>
  </si>
  <si>
    <t>26/03/12 10:57 AM</t>
  </si>
  <si>
    <t>26/03/12 5:26 PM</t>
  </si>
  <si>
    <t>26/03/16 08:52 AM</t>
  </si>
  <si>
    <t>26/03/13 04:47 PM</t>
  </si>
  <si>
    <t>MS_060326_001</t>
  </si>
  <si>
    <t>V001</t>
  </si>
  <si>
    <t>26/03/16 03:57 PM</t>
  </si>
  <si>
    <t>MS_060326_002</t>
  </si>
  <si>
    <t>V002</t>
  </si>
  <si>
    <t>26/03/13 01:51 PM</t>
  </si>
  <si>
    <t>MS_060326_004</t>
  </si>
  <si>
    <t>V003</t>
  </si>
  <si>
    <t>26/03/18 02:10 PM</t>
  </si>
  <si>
    <t>MS_090326_001</t>
  </si>
  <si>
    <t>V004</t>
  </si>
  <si>
    <t>MS_090326_002</t>
  </si>
  <si>
    <t>V005</t>
  </si>
  <si>
    <t xml:space="preserve">26/03/17 02:28 PM </t>
  </si>
  <si>
    <t>MS_090326_003</t>
  </si>
  <si>
    <t>V006</t>
  </si>
  <si>
    <t>MS_090326_004</t>
  </si>
  <si>
    <t>V007</t>
  </si>
  <si>
    <t>MS_100326_001</t>
  </si>
  <si>
    <t>V008</t>
  </si>
  <si>
    <t>MS_100326_003</t>
  </si>
  <si>
    <t>V009</t>
  </si>
  <si>
    <t>MS_100326_002</t>
  </si>
  <si>
    <t>V010</t>
  </si>
  <si>
    <t>26/03/17 3:02 PM</t>
  </si>
  <si>
    <t>MS_060326_003</t>
  </si>
  <si>
    <t>V011</t>
  </si>
  <si>
    <t>MS_100326_004</t>
  </si>
  <si>
    <t>V012</t>
  </si>
  <si>
    <t xml:space="preserve">26/03/18 01:18 PM </t>
  </si>
  <si>
    <t>26/03/19 11:21 AM</t>
  </si>
  <si>
    <t>MS_100326_005</t>
  </si>
  <si>
    <t>V013</t>
  </si>
  <si>
    <t>MS_110326_001</t>
  </si>
  <si>
    <t>V014</t>
  </si>
  <si>
    <t>MS_110326_002</t>
  </si>
  <si>
    <t>V015</t>
  </si>
  <si>
    <t>26/03/19 11:50 PM</t>
  </si>
  <si>
    <t>MS_110326_003</t>
  </si>
  <si>
    <t>V016</t>
  </si>
  <si>
    <t>26/03/20 10:03 AM</t>
  </si>
  <si>
    <t>MS_120326_002</t>
  </si>
  <si>
    <t>V017</t>
  </si>
  <si>
    <t>MS_120326_003</t>
  </si>
  <si>
    <t>V018</t>
  </si>
  <si>
    <t>MS_120326_004</t>
  </si>
  <si>
    <t>V019</t>
  </si>
  <si>
    <t>MS_130326_001</t>
  </si>
  <si>
    <t>V020</t>
  </si>
  <si>
    <t>MS_150326_001</t>
  </si>
  <si>
    <t>26/03/19 06:05 PM</t>
  </si>
  <si>
    <t>V021</t>
  </si>
  <si>
    <t>MS_130326_002</t>
  </si>
  <si>
    <t>26/03/19 06:10 PM</t>
  </si>
  <si>
    <t>V022</t>
  </si>
  <si>
    <t>MS_150326_002</t>
  </si>
  <si>
    <t>V023</t>
  </si>
  <si>
    <t>26/03/23 01:48 PM</t>
  </si>
  <si>
    <t>MS_150326_003</t>
  </si>
  <si>
    <t>V024</t>
  </si>
  <si>
    <t xml:space="preserve">26/03/23 09:26 AM </t>
  </si>
  <si>
    <t>MS_160326_001</t>
  </si>
  <si>
    <t>V025</t>
  </si>
  <si>
    <t xml:space="preserve">26/03/23 09:45 AM </t>
  </si>
  <si>
    <t>26/03/23 04:30 PM</t>
  </si>
  <si>
    <t>MS_150326_004</t>
  </si>
  <si>
    <t>26/03/20 05:43 PM</t>
  </si>
  <si>
    <t>V026</t>
  </si>
  <si>
    <t>MS_160326_002</t>
  </si>
  <si>
    <t>26/03/23 11:38 AM</t>
  </si>
  <si>
    <t>V027</t>
  </si>
  <si>
    <t>MS_160326_003</t>
  </si>
  <si>
    <t>V028</t>
  </si>
  <si>
    <t>MS_160326_004</t>
  </si>
  <si>
    <t>26/03/23 12:07 PM</t>
  </si>
  <si>
    <t>V029</t>
  </si>
  <si>
    <t>26/03/24 02:42 PM</t>
  </si>
  <si>
    <t>MS_170326_001</t>
  </si>
  <si>
    <t>V030</t>
  </si>
  <si>
    <t>MS_120326_001</t>
  </si>
  <si>
    <t>V031</t>
  </si>
  <si>
    <t>MS_170326_002</t>
  </si>
  <si>
    <t>V032</t>
  </si>
  <si>
    <t>MS_170326_003</t>
  </si>
  <si>
    <t>V033</t>
  </si>
  <si>
    <t>26/03/25 11:47 AM</t>
  </si>
  <si>
    <t>MS_170326_004</t>
  </si>
  <si>
    <t>V034</t>
  </si>
  <si>
    <t>26/03/25 11:44 AM</t>
  </si>
  <si>
    <t>MS_180326_001</t>
  </si>
  <si>
    <t>V035</t>
  </si>
  <si>
    <t>26/03/25 05:23 PM</t>
  </si>
  <si>
    <t>MS_180326_002</t>
  </si>
  <si>
    <t>V036</t>
  </si>
  <si>
    <t>MS_190326_001</t>
  </si>
  <si>
    <t>V037</t>
  </si>
  <si>
    <t>MS_190326_002</t>
  </si>
  <si>
    <t>V038</t>
  </si>
  <si>
    <t>MS_190326_003</t>
  </si>
  <si>
    <t>V039</t>
  </si>
  <si>
    <t>MS_190326_004</t>
  </si>
  <si>
    <t>V040</t>
  </si>
  <si>
    <t>MS_200326_001</t>
  </si>
  <si>
    <t>V041</t>
  </si>
  <si>
    <t>MS_200326_003</t>
  </si>
  <si>
    <t>V042</t>
  </si>
  <si>
    <t>MS_200326_004</t>
  </si>
  <si>
    <t>26/03/26 12:05 AM</t>
  </si>
  <si>
    <t>V043</t>
  </si>
  <si>
    <t>MS_200326_002</t>
  </si>
  <si>
    <t>V044</t>
  </si>
  <si>
    <t>26/03/27 1:05 PM</t>
  </si>
  <si>
    <t>26/03/30 11:44 PM</t>
  </si>
  <si>
    <t>MS_200326_005</t>
  </si>
  <si>
    <t>V045</t>
  </si>
  <si>
    <t>MS_200326_006</t>
  </si>
  <si>
    <t>V046</t>
  </si>
  <si>
    <t>MS_230326_001</t>
  </si>
  <si>
    <t>V047</t>
  </si>
  <si>
    <t>MS_230326_002</t>
  </si>
  <si>
    <t>V048</t>
  </si>
  <si>
    <t>26/03/30 05:35 PM</t>
  </si>
  <si>
    <t>MS_230326_003</t>
  </si>
  <si>
    <t>V049</t>
  </si>
  <si>
    <t>MS_230326_004</t>
  </si>
  <si>
    <t>V050</t>
  </si>
  <si>
    <t>MS_230326_005</t>
  </si>
  <si>
    <t>V051</t>
  </si>
  <si>
    <t>26/03/31 02:15 PM</t>
  </si>
  <si>
    <t>MS_230326_006</t>
  </si>
  <si>
    <t>26/03/30 2:05 PM</t>
  </si>
  <si>
    <t>V052</t>
  </si>
  <si>
    <t>MS_240326_001</t>
  </si>
  <si>
    <t>V053</t>
  </si>
  <si>
    <t>26/04/01 11:49 AM</t>
  </si>
  <si>
    <t>MS_240326_002</t>
  </si>
  <si>
    <t>V054</t>
  </si>
  <si>
    <t>MS_240326_003</t>
  </si>
  <si>
    <t>V055</t>
  </si>
  <si>
    <t>MS_240326_004</t>
  </si>
  <si>
    <t>V056</t>
  </si>
  <si>
    <t>26/04/03 05:28 PM</t>
  </si>
  <si>
    <t>MS_240326_005</t>
  </si>
  <si>
    <t>26/03/30 06:04 PM</t>
  </si>
  <si>
    <t>V057</t>
  </si>
  <si>
    <t>MS_240326_006</t>
  </si>
  <si>
    <t>V058</t>
  </si>
  <si>
    <t>26/04/01 10:50 AM</t>
  </si>
  <si>
    <t>MS_260326_001</t>
  </si>
  <si>
    <t>V059</t>
  </si>
  <si>
    <t>MS_260326_002</t>
  </si>
  <si>
    <t>V060</t>
  </si>
  <si>
    <t>MS_260326_003</t>
  </si>
  <si>
    <t>V061</t>
  </si>
  <si>
    <t>MS_260326_004</t>
  </si>
  <si>
    <t>V062</t>
  </si>
  <si>
    <t>MS_260326_005</t>
  </si>
  <si>
    <t>V063</t>
  </si>
  <si>
    <t>MS_260326_006</t>
  </si>
  <si>
    <t>V064</t>
  </si>
  <si>
    <t>MS_280326_001</t>
  </si>
  <si>
    <t>V065</t>
  </si>
  <si>
    <t>MS_280326_002</t>
  </si>
  <si>
    <t>26/04/03 02:06 PM</t>
  </si>
  <si>
    <t>V066</t>
  </si>
  <si>
    <t>26/04/04 9:00 AM</t>
  </si>
  <si>
    <t>26/04/04 5:27 PM</t>
  </si>
  <si>
    <t>MS_280326_003</t>
  </si>
  <si>
    <t>V067</t>
  </si>
  <si>
    <t>MS_280326_004</t>
  </si>
  <si>
    <t>V068</t>
  </si>
  <si>
    <t>26/04/06 08:35 AM</t>
  </si>
  <si>
    <t>26/04/07 11:05 AM</t>
  </si>
  <si>
    <t>MS_290326_001</t>
  </si>
  <si>
    <t>26/04/03 06:27 PM</t>
  </si>
  <si>
    <t>V069</t>
  </si>
  <si>
    <t>MS_010426_001</t>
  </si>
  <si>
    <t>V070</t>
  </si>
  <si>
    <t>26/04/06 01:00 PM</t>
  </si>
  <si>
    <t>MS_290326_002</t>
  </si>
  <si>
    <t>V071</t>
  </si>
  <si>
    <t xml:space="preserve">26/04/06 02:54 PM </t>
  </si>
  <si>
    <t>MS_290326_003</t>
  </si>
  <si>
    <t>V072</t>
  </si>
  <si>
    <t>26/04/06 04:45 PM</t>
  </si>
  <si>
    <t>MS_300326_003</t>
  </si>
  <si>
    <t>V073</t>
  </si>
  <si>
    <t>MS_300326_004</t>
  </si>
  <si>
    <t>26/04/06 03:01 PM</t>
  </si>
  <si>
    <t>V074</t>
  </si>
  <si>
    <t>26/04/07 01:00 PM</t>
  </si>
  <si>
    <t>MS_310326_001</t>
  </si>
  <si>
    <t>V075</t>
  </si>
  <si>
    <t>MS_300326_001</t>
  </si>
  <si>
    <t>V076</t>
  </si>
  <si>
    <t>MS_310326_002</t>
  </si>
  <si>
    <t>V077</t>
  </si>
  <si>
    <t>26/04/09 11:50 PM</t>
  </si>
  <si>
    <t>MS_310326_003</t>
  </si>
  <si>
    <t>V078</t>
  </si>
  <si>
    <t>MS_310326_004</t>
  </si>
  <si>
    <t>V079</t>
  </si>
  <si>
    <t>20260407_mtDNA_315</t>
  </si>
  <si>
    <t>V080</t>
  </si>
  <si>
    <t>26/04/08 10:20 AM</t>
  </si>
  <si>
    <t>MS_300326_002</t>
  </si>
  <si>
    <t>26/04/08 10:37 AM</t>
  </si>
  <si>
    <t>V081</t>
  </si>
  <si>
    <t>26/04/08 04:04 PM</t>
  </si>
  <si>
    <t>26/04/09 2:30 PM</t>
  </si>
  <si>
    <t>MS_040426_001</t>
  </si>
  <si>
    <t>26/04/08 11:37 AM</t>
  </si>
  <si>
    <t>V082</t>
  </si>
  <si>
    <t>26/04/08 01:00 PM</t>
  </si>
  <si>
    <t>MS_310326_005</t>
  </si>
  <si>
    <t>26/04/08 11:54 AM</t>
  </si>
  <si>
    <t>V083</t>
  </si>
  <si>
    <t>MS_310326_006</t>
  </si>
  <si>
    <t>V084</t>
  </si>
  <si>
    <t>MS_030426_001</t>
  </si>
  <si>
    <t>V085</t>
  </si>
  <si>
    <t>MS_030426_002</t>
  </si>
  <si>
    <t>V086</t>
  </si>
  <si>
    <t>V087</t>
  </si>
  <si>
    <t>V088</t>
  </si>
  <si>
    <t>V089</t>
  </si>
  <si>
    <t>V090</t>
  </si>
  <si>
    <t>V091</t>
  </si>
  <si>
    <t>V092</t>
  </si>
  <si>
    <t>V093</t>
  </si>
  <si>
    <t>V094</t>
  </si>
  <si>
    <t>V095</t>
  </si>
  <si>
    <t>V096</t>
  </si>
  <si>
    <t>V097</t>
  </si>
  <si>
    <t>V098</t>
  </si>
  <si>
    <t>V099</t>
  </si>
  <si>
    <t>Nội dung</t>
  </si>
  <si>
    <t>Từ 01/04/2025
tới 08/05/2025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</si>
  <si>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</si>
  <si>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</si>
  <si>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</si>
  <si>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</si>
  <si>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</si>
  <si>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</si>
  <si>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</si>
  <si>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</si>
  <si>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</si>
  <si>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</si>
  <si>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</si>
  <si>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</si>
  <si>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</si>
  <si>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</si>
  <si>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</si>
  <si>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</si>
  <si>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</si>
  <si>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</si>
  <si>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</si>
  <si>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</si>
  <si>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</si>
  <si>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</si>
  <si>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</si>
  <si>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</si>
  <si>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</si>
  <si>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</si>
  <si>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</si>
  <si>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</si>
  <si>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</si>
  <si>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</si>
  <si>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</si>
  <si>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</si>
  <si>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</si>
  <si>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</si>
  <si>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</si>
  <si>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</si>
  <si>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</si>
  <si>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</si>
  <si>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</si>
  <si>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</si>
  <si>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</si>
  <si>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</si>
  <si>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</si>
  <si>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</si>
  <si>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</si>
  <si>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</si>
  <si>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</si>
  <si>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</si>
  <si>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</si>
  <si>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</si>
  <si>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</si>
  <si>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</si>
  <si>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</si>
  <si>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</si>
  <si>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</si>
  <si>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</si>
  <si>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13/8/2025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</si>
  <si>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</si>
  <si>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</si>
  <si>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</si>
  <si>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</si>
  <si>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</si>
  <si>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</si>
  <si>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</si>
  <si>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</si>
  <si>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</si>
  <si>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</si>
  <si>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</si>
  <si>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</si>
  <si>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</si>
  <si>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</si>
  <si>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</si>
  <si>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</si>
  <si>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</si>
  <si>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</si>
  <si>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</si>
  <si>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</si>
  <si>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</si>
  <si>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</si>
  <si>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</si>
  <si>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</si>
  <si>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</si>
  <si>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</si>
  <si>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</si>
  <si>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</si>
  <si>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</si>
  <si>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</si>
  <si>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</si>
  <si>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</si>
  <si>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</si>
  <si>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</si>
  <si>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</si>
  <si>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</si>
  <si>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</si>
  <si>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</si>
  <si>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</si>
  <si>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</si>
  <si>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</si>
  <si>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</si>
  <si>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</si>
  <si>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</si>
  <si>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</si>
  <si>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</si>
  <si>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</si>
  <si>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</si>
  <si>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</si>
  <si>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</si>
  <si>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</si>
  <si>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</si>
  <si>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</si>
  <si>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</si>
  <si>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</si>
  <si>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</si>
  <si>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</si>
  <si>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</si>
  <si>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</si>
  <si>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</si>
  <si>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</si>
  <si>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</si>
  <si>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</si>
  <si>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</si>
  <si>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</si>
  <si>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</si>
  <si>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</si>
  <si>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</si>
  <si>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</si>
  <si>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</si>
  <si>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01/12/2025</t>
  </si>
  <si>
    <t>02/12/2025</t>
  </si>
  <si>
    <t>03/12/2025</t>
  </si>
  <si>
    <t>04/12/2025</t>
  </si>
  <si>
    <t>05/12/2025</t>
  </si>
  <si>
    <t>08/12/2025</t>
  </si>
  <si>
    <t>09/12/2025</t>
  </si>
  <si>
    <t>10/12/2025</t>
  </si>
  <si>
    <t>11/12/2025</t>
  </si>
  <si>
    <t>12/12/2025</t>
  </si>
  <si>
    <t>13/12/2025</t>
  </si>
  <si>
    <t>14/12/2025</t>
  </si>
  <si>
    <t>15/12/2025</t>
  </si>
  <si>
    <t>16/12/2025</t>
  </si>
  <si>
    <t>17/12/2025</t>
  </si>
  <si>
    <t>18/12/2025</t>
  </si>
  <si>
    <t>19/12/2025</t>
  </si>
  <si>
    <t>22/12/2025</t>
  </si>
  <si>
    <t>23/12/2025</t>
  </si>
  <si>
    <t>24/12/2025</t>
  </si>
  <si>
    <t>25/12/2025</t>
  </si>
  <si>
    <t>26/12/2025</t>
  </si>
  <si>
    <t>29/12/2025</t>
  </si>
  <si>
    <t>30/12/2025</t>
  </si>
  <si>
    <t>31/12/2025</t>
  </si>
  <si>
    <t>5/1/2026</t>
  </si>
  <si>
    <t>6/1/2026</t>
  </si>
  <si>
    <t>7/1/2026</t>
  </si>
  <si>
    <t>8/1/2026</t>
  </si>
  <si>
    <t>9/1/2026</t>
  </si>
  <si>
    <t>12/1/2026</t>
  </si>
  <si>
    <t>13/1/2026</t>
  </si>
  <si>
    <t>14/1/2026</t>
  </si>
  <si>
    <t>15/1/2026</t>
  </si>
  <si>
    <t>16/1/2026</t>
  </si>
  <si>
    <t>19/1/2026</t>
  </si>
  <si>
    <t>20/1/2026</t>
  </si>
  <si>
    <t>21/1/2026</t>
  </si>
  <si>
    <t>22/1/2026</t>
  </si>
  <si>
    <t>23/1/2026</t>
  </si>
  <si>
    <t>24/1/2026</t>
  </si>
  <si>
    <t>26/1/2025</t>
  </si>
  <si>
    <t>27/1/2025</t>
  </si>
  <si>
    <t>28/1/2025</t>
  </si>
  <si>
    <t>29/1/2026</t>
  </si>
  <si>
    <t>30/1/2026</t>
  </si>
  <si>
    <t>2/2/2026</t>
  </si>
  <si>
    <t>3/2/2026</t>
  </si>
  <si>
    <t>13/2/2026</t>
  </si>
  <si>
    <t>25/2/2026</t>
  </si>
  <si>
    <t>26/2/2026</t>
  </si>
  <si>
    <t>27/2/2026</t>
  </si>
  <si>
    <t>2/3/2026</t>
  </si>
  <si>
    <t>3/3/2026</t>
  </si>
  <si>
    <t>4/3/2026</t>
  </si>
  <si>
    <t>5/3/2026</t>
  </si>
  <si>
    <t>6/3/2026</t>
  </si>
  <si>
    <t>9/3/2026</t>
  </si>
  <si>
    <t>10/3/2026</t>
  </si>
  <si>
    <t>11/3/2026</t>
  </si>
  <si>
    <t>12/3/2026</t>
  </si>
  <si>
    <t>13/3/2026</t>
  </si>
  <si>
    <t>16/3/2026</t>
  </si>
  <si>
    <t>17/3/2026</t>
  </si>
  <si>
    <t>18/3/2026</t>
  </si>
  <si>
    <t>19/3/2026</t>
  </si>
  <si>
    <t>20/3/2026</t>
  </si>
  <si>
    <t>23/3/2026</t>
  </si>
  <si>
    <t>24/3/2026</t>
  </si>
  <si>
    <t>25/3/2026</t>
  </si>
  <si>
    <t>26/3/2026</t>
  </si>
  <si>
    <t>27/3/2026</t>
  </si>
  <si>
    <t>30/3/2026</t>
  </si>
  <si>
    <t>31/3/2026</t>
  </si>
  <si>
    <t>1/4/2026</t>
  </si>
  <si>
    <t>2/4/2026</t>
  </si>
  <si>
    <t>3/4/2026</t>
  </si>
  <si>
    <t>5/4/2026</t>
  </si>
  <si>
    <t>6/4/2026</t>
  </si>
  <si>
    <t>7/4/2026</t>
  </si>
  <si>
    <t>8/4/2026</t>
  </si>
  <si>
    <t>9/4/2026</t>
  </si>
  <si>
    <t>10/4/2026</t>
  </si>
  <si>
    <t>Phân tích mtDNA</t>
  </si>
  <si>
    <t>Tp.HCM</t>
  </si>
  <si>
    <t>Rerun</t>
  </si>
  <si>
    <t>Mẻ</t>
  </si>
  <si>
    <t>No. of mtDNA profiles/ passed samples</t>
  </si>
  <si>
    <t>Tổng</t>
  </si>
  <si>
    <t>1-5</t>
  </si>
  <si>
    <t>6-14</t>
  </si>
  <si>
    <t>15-19</t>
  </si>
  <si>
    <t>20-</t>
  </si>
  <si>
    <t>Tóm tắt XN mtDNA mẫu thân nhân*</t>
  </si>
  <si>
    <t>Tổng mẫu TN</t>
  </si>
  <si>
    <t>Đã phân tích</t>
  </si>
  <si>
    <t>Đã chuyển KQ sang nhóm Science</t>
  </si>
  <si>
    <t>Đã xuất phiếu KQ</t>
  </si>
  <si>
    <t>Phiếu kết quả đã được chấp nhận</t>
  </si>
  <si>
    <t>*Không bao gồm 8 mẫu staff</t>
  </si>
  <si>
    <t>Tổng số mẫu 2024 (Từ batch 1 - 14)</t>
  </si>
  <si>
    <t>Tổng đợt 2 (Mẻ 15 - 19)</t>
  </si>
  <si>
    <t>Xong hết</t>
  </si>
  <si>
    <t>Tổng số mẫu 2025 (Từ batch 15 - )</t>
  </si>
  <si>
    <t>Lab Start Date</t>
  </si>
  <si>
    <t>Deadline for Report Submitted</t>
  </si>
  <si>
    <t>No. of Samples Passed by Sequencher Analysis</t>
  </si>
  <si>
    <t>Note2</t>
  </si>
  <si>
    <t>Nam (Ms)</t>
  </si>
  <si>
    <t>Cuc</t>
  </si>
  <si>
    <t xml:space="preserve"> 91/92 phiếu KQ đã đc released ngày 250212 và được Nam và a Tôn approved. 250329 lab đã chạy lại, phân tích xong và đã chuyển kq pt sequencher sang Science Team ngày 250227. Đã update report mới. --&gt; Done</t>
  </si>
  <si>
    <t>2 mẫu đã chạy bổ sung HVIF</t>
  </si>
  <si>
    <t>đã feeedback Cúc bổ sung thông tin đoạn phân tích ở 1 số phiếu KQ --&gt; Done</t>
  </si>
  <si>
    <t>đã feeedback Cúc bổ sung thông tin đoạn phân tích ở 1 số phiếu KQ</t>
  </si>
  <si>
    <t>lab chạy lại 250951 HV3F --&gt; Nam pt Sequencher xong --&gt; gửi KQ bổ sung ngày 250228</t>
  </si>
  <si>
    <t>No. of Samples Passed by Sequencher Analysis Transfered to the Sciene Team</t>
  </si>
  <si>
    <t>Note</t>
  </si>
  <si>
    <t>Nam (Ms) and Cuc</t>
  </si>
  <si>
    <t>đã re-PCR-CR và reseq 4 mẫu 246373 HV1R, 246371 HV1F, 246387 HV1F, 246399 HV1F để confirm heteroplasmy</t>
  </si>
  <si>
    <t>10_L1</t>
  </si>
  <si>
    <t>x</t>
  </si>
  <si>
    <t>8 staff samples</t>
  </si>
  <si>
    <t>10_L2</t>
  </si>
  <si>
    <t>re-PCR-CR sau đó reseq 242763 HV2F: 121R? --&gt; ko có hetero ở vị trí này</t>
  </si>
  <si>
    <t>12_L1</t>
  </si>
  <si>
    <t>5 prioritized samples analysed</t>
  </si>
  <si>
    <t>12_L2</t>
  </si>
  <si>
    <t>Not yet started</t>
  </si>
  <si>
    <t>Đơn vị giải trình tự</t>
  </si>
  <si>
    <t>Thời gian nhận</t>
  </si>
  <si>
    <t>Số mẫu nhận</t>
  </si>
  <si>
    <t>Mức độ ưu tiên</t>
  </si>
  <si>
    <t>Người phân tích</t>
  </si>
  <si>
    <t>Số mẫu đã phân tích</t>
  </si>
  <si>
    <t>Người kiểm tra 1</t>
  </si>
  <si>
    <t>Người kiểm tra 2</t>
  </si>
  <si>
    <t>Số mẫu trả kết quả</t>
  </si>
  <si>
    <t>Số mẫu chạy lại</t>
  </si>
  <si>
    <t>GST</t>
  </si>
  <si>
    <t>20250530_mtDNA_73</t>
  </si>
  <si>
    <t>Không</t>
  </si>
  <si>
    <t>20250615_mtDNA_102</t>
  </si>
  <si>
    <t xml:space="preserve">N </t>
  </si>
  <si>
    <t xml:space="preserve">X </t>
  </si>
  <si>
    <t xml:space="preserve">Q </t>
  </si>
  <si>
    <t xml:space="preserve">T </t>
  </si>
  <si>
    <t>CDI</t>
  </si>
  <si>
    <t>Bình thường</t>
  </si>
  <si>
    <t>PYQĐ</t>
  </si>
  <si>
    <t>20250721_mtDNA_172</t>
  </si>
  <si>
    <t>Gấp</t>
  </si>
  <si>
    <t>20250718_mtDNA_163_L2</t>
  </si>
  <si>
    <t>20250717_mtDNA_163</t>
  </si>
  <si>
    <t>20250731_mtDNA_190</t>
  </si>
  <si>
    <t>Viện CNSH</t>
  </si>
  <si>
    <t>Sequencher Analysis</t>
  </si>
  <si>
    <t>Analyst</t>
  </si>
  <si>
    <t>Regenerated Report</t>
  </si>
  <si>
    <t>Report Check</t>
  </si>
  <si>
    <t>Final Report</t>
  </si>
  <si>
    <t>Not yet released</t>
  </si>
  <si>
    <t>Processing</t>
  </si>
  <si>
    <t>Not perform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</si>
</sst>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yy/mm/dd\ hh:mm\ AM/PM"/>
  </numFmts>
  <fonts count="87">
    <font>
      <sz val="11"/>
      <color theme="1"/>
      <name val="Aptos Narrow"/>
      <family val="2"/>
      <scheme val="minor"/>
    </font>
    <font>
      <sz val="11"/>
      <color theme="1"/>
      <name val="Calibri"/>
      <family val="2"/>
    </font>
    <font>
      <b/>
      <sz val="11"/>
      <color theme="1"/>
      <name val="Calibri"/>
      <family val="2"/>
    </font>
    <font>
      <b/>
      <sz val="11"/>
      <color theme="1"/>
      <name val="Aptos Narrow"/>
      <family val="2"/>
      <scheme val="minor"/>
    </font>
    <font>
      <b/>
      <sz val="18"/>
      <color rgb="FFFF0000"/>
      <name val="Calibri"/>
      <family val="2"/>
    </font>
    <font>
      <b/>
      <sz val="11"/>
      <color rgb="FFFF0000"/>
      <name val="Calibri"/>
      <family val="2"/>
    </font>
    <font>
      <sz val="11"/>
      <color rgb="FF000000"/>
      <name val="Calibri"/>
      <family val="2"/>
    </font>
    <font>
      <b/>
      <sz val="11"/>
      <color rgb="FF000000"/>
      <name val="Calibri"/>
      <family val="2"/>
    </font>
    <font>
      <b/>
      <i/>
      <sz val="11"/>
      <color rgb="FFFF0000"/>
      <name val="Calibri"/>
      <family val="2"/>
    </font>
    <font>
      <b/>
      <sz val="20"/>
      <color rgb="FFFF0000"/>
      <name val="Calibri"/>
      <family val="2"/>
    </font>
    <font>
      <b/>
      <i/>
      <sz val="12"/>
      <color rgb="FFFF0000"/>
      <name val="Calibri"/>
      <family val="2"/>
    </font>
    <font>
      <sz val="12"/>
      <color rgb="FF000000"/>
      <name val="Calibri"/>
      <family val="2"/>
    </font>
    <font>
      <b/>
      <sz val="12"/>
      <color rgb="FF000000"/>
      <name val="Calibri"/>
      <family val="2"/>
    </font>
    <font>
      <b/>
      <sz val="10"/>
      <color theme="1"/>
      <name val="Calibri"/>
      <family val="2"/>
    </font>
    <font>
      <b/>
      <sz val="10"/>
      <color rgb="FF000000"/>
      <name val="Calibri"/>
      <family val="2"/>
    </font>
    <font>
      <b/>
      <sz val="10"/>
      <color theme="1"/>
      <name val="Aptos Narrow"/>
      <family val="2"/>
      <scheme val="minor"/>
    </font>
    <font>
      <sz val="11"/>
      <color rgb="FF242424"/>
      <name val="Aptos Narrow"/>
      <family val="2"/>
    </font>
    <font>
      <sz val="11"/>
      <color rgb="FF006100"/>
      <name val="Aptos Narrow"/>
      <family val="2"/>
    </font>
    <font>
      <sz val="11"/>
      <color rgb="FF000000"/>
      <name val="Aptos Narrow"/>
      <family val="2"/>
    </font>
    <font>
      <b/>
      <sz val="11"/>
      <color rgb="FFFF0000"/>
      <name val="Aptos Narrow"/>
      <family val="2"/>
      <scheme val="minor"/>
    </font>
    <font>
      <sz val="11"/>
      <color rgb="FFFF0000"/>
      <name val="Aptos Narrow"/>
      <family val="2"/>
      <scheme val="minor"/>
    </font>
    <font>
      <sz val="10"/>
      <color rgb="FFFF0000"/>
      <name val="Arial"/>
      <family val="2"/>
      <charset val="1"/>
    </font>
    <font>
      <sz val="11"/>
      <color rgb="FF006100"/>
      <name val="Calibri"/>
      <family val="2"/>
    </font>
    <font>
      <sz val="10"/>
      <color theme="1"/>
      <name val="Arial"/>
      <family val="2"/>
    </font>
    <font>
      <b/>
      <sz val="10"/>
      <color theme="1"/>
      <name val="Arial"/>
      <family val="2"/>
    </font>
    <font>
      <b/>
      <sz val="11"/>
      <color theme="7"/>
      <name val="Aptos Narrow"/>
      <family val="2"/>
      <scheme val="minor"/>
    </font>
    <font>
      <b/>
      <sz val="11"/>
      <color rgb="FF00B0F0"/>
      <name val="Aptos Narrow"/>
      <family val="2"/>
      <scheme val="minor"/>
    </font>
    <font>
      <sz val="11"/>
      <color rgb="FF00B0F0"/>
      <name val="Aptos Narrow"/>
      <family val="2"/>
      <scheme val="minor"/>
    </font>
    <font>
      <b/>
      <sz val="11"/>
      <color rgb="FF00B0F0"/>
      <name val="Aptos Narrow"/>
      <family val="2"/>
    </font>
    <font>
      <b/>
      <sz val="12"/>
      <color rgb="FF00B0F0"/>
      <name val="Aptos Narrow"/>
      <family val="2"/>
      <scheme val="minor"/>
    </font>
    <font>
      <sz val="11"/>
      <color rgb="FF00B0F0"/>
      <name val="Aptos Narrow"/>
      <family val="2"/>
      <scheme val="minor"/>
    </font>
    <font>
      <sz val="12"/>
      <color rgb="FF00B0F0"/>
      <name val="Aptos Narrow"/>
      <family val="2"/>
      <scheme val="minor"/>
    </font>
    <font>
      <b/>
      <sz val="12"/>
      <color rgb="FFFF0000"/>
      <name val="Aptos Narrow"/>
      <family val="2"/>
      <scheme val="minor"/>
    </font>
    <font>
      <sz val="9.8000000000000007"/>
      <color rgb="FF151515"/>
      <name val="Inter"/>
      <charset val="134"/>
    </font>
    <font>
      <b/>
      <sz val="10"/>
      <color rgb="FFFF0000"/>
      <name val="Calibri"/>
      <family val="2"/>
    </font>
    <font>
      <sz val="11"/>
      <color rgb="FFFF0000"/>
      <name val="Calibri"/>
      <family val="2"/>
    </font>
    <font>
      <sz val="12"/>
      <color rgb="FFFF0000"/>
      <name val="Calibri"/>
      <family val="2"/>
    </font>
    <font>
      <sz val="11"/>
      <color rgb="FFFF0000"/>
      <name val="Aptos Narrow"/>
      <family val="2"/>
    </font>
    <font>
      <b/>
      <sz val="11"/>
      <color theme="4" tint="0.39997558519241921"/>
      <name val="Aptos Narrow"/>
      <family val="2"/>
      <scheme val="minor"/>
    </font>
    <font>
      <sz val="10"/>
      <color rgb="FFFF0000"/>
      <name val="Arial"/>
      <family val="2"/>
    </font>
    <font>
      <sz val="11"/>
      <color rgb="FF000000"/>
      <name val="Aptos Narrow"/>
      <family val="2"/>
      <scheme val="minor"/>
    </font>
    <font>
      <b/>
      <sz val="10"/>
      <color rgb="FF00B0F0"/>
      <name val="Arial"/>
      <family val="2"/>
      <charset val="1"/>
    </font>
    <font>
      <sz val="11"/>
      <color theme="4" tint="0.39997558519241921"/>
      <name val="Aptos Narrow"/>
      <family val="2"/>
    </font>
    <font>
      <sz val="11"/>
      <color theme="4" tint="0.39997558519241921"/>
      <name val="Aptos Narrow"/>
      <family val="2"/>
      <scheme val="minor"/>
    </font>
    <font>
      <b/>
      <sz val="12"/>
      <color theme="4" tint="0.39997558519241921"/>
      <name val="Aptos Narrow"/>
      <family val="2"/>
      <scheme val="minor"/>
    </font>
    <font>
      <b/>
      <sz val="11"/>
      <color rgb="FF00B0F0"/>
      <name val="Calibri"/>
      <family val="2"/>
    </font>
    <font>
      <sz val="11"/>
      <color rgb="FF00B0F0"/>
      <name val="Calibri"/>
      <family val="2"/>
    </font>
    <font>
      <sz val="10"/>
      <name val="Arial"/>
      <family val="2"/>
      <charset val="1"/>
    </font>
    <font>
      <sz val="11"/>
      <color theme="1"/>
      <name val="Aptos Narrow"/>
      <family val="2"/>
    </font>
    <font>
      <sz val="12"/>
      <color rgb="FF000000"/>
      <name val="Aptos"/>
      <family val="2"/>
    </font>
    <font>
      <sz val="12"/>
      <color theme="1"/>
      <name val="Aptos Narrow"/>
      <family val="2"/>
      <scheme val="minor"/>
    </font>
    <font>
      <b/>
      <sz val="11"/>
      <color rgb="FF00B0F0"/>
      <name val="Aptos Display"/>
      <family val="2"/>
      <scheme val="major"/>
    </font>
    <font>
      <b/>
      <sz val="11"/>
      <color rgb="FF00B0F0"/>
      <name val="Times New Roman"/>
      <family val="1"/>
    </font>
    <font>
      <u/>
      <sz val="11"/>
      <color theme="10"/>
      <name val="Aptos Narrow"/>
      <family val="2"/>
      <scheme val="minor"/>
    </font>
    <font>
      <b/>
      <sz val="11"/>
      <color rgb="FF000000"/>
      <name val="Aptos Narrow"/>
      <family val="2"/>
    </font>
    <font>
      <sz val="11"/>
      <color rgb="FF000000"/>
      <name val="Times New Roman"/>
      <family val="1"/>
    </font>
    <font>
      <sz val="10"/>
      <color theme="1"/>
      <name val="Calibri"/>
      <family val="2"/>
    </font>
    <font>
      <b/>
      <sz val="11"/>
      <color rgb="FFFF0000"/>
      <name val="Calibri"/>
    </font>
    <font>
      <sz val="11"/>
      <color rgb="FF000000"/>
      <name val="Calibri"/>
    </font>
    <font>
      <sz val="11"/>
      <color theme="1"/>
      <name val="Calibri"/>
    </font>
    <font>
      <b/>
      <sz val="11"/>
      <color rgb="FF00B0F0"/>
      <name val="Calibri"/>
    </font>
    <font>
      <b/>
      <sz val="11"/>
      <color rgb="FF000000"/>
      <name val="Calibri"/>
    </font>
    <font>
      <sz val="12"/>
      <color rgb="FF000000"/>
      <name val="Calibri"/>
    </font>
    <font>
      <b/>
      <sz val="12"/>
      <color rgb="FF000000"/>
      <name val="Calibri"/>
    </font>
    <font>
      <sz val="11"/>
      <color rgb="FF006100"/>
      <name val="Aptos Narrow"/>
    </font>
    <font>
      <sz val="11"/>
      <color rgb="FF000000"/>
      <name val="Aptos Narrow"/>
    </font>
    <font>
      <b/>
      <sz val="10"/>
      <color theme="1"/>
      <name val="Calibri"/>
    </font>
    <font>
      <sz val="10"/>
      <color rgb="FF000000"/>
      <name val="Calibri"/>
      <family val="2"/>
    </font>
    <font>
      <b/>
      <sz val="10"/>
      <color rgb="FFFF0000"/>
      <name val="Calibri"/>
    </font>
    <font>
      <sz val="10"/>
      <color rgb="FF000000"/>
      <name val="Calibri"/>
    </font>
    <font>
      <u/>
      <sz val="10"/>
      <color theme="10"/>
      <name val="Calibri"/>
      <family val="2"/>
    </font>
    <font>
      <sz val="10"/>
      <color theme="1"/>
      <name val="Calibri"/>
    </font>
    <font>
      <u/>
      <sz val="10"/>
      <color theme="10"/>
      <name val="Aptos Narrow"/>
      <family val="2"/>
      <scheme val="minor"/>
    </font>
    <font>
      <sz val="8"/>
      <color theme="1"/>
      <name val="Calibri"/>
    </font>
    <font>
      <sz val="10"/>
      <color rgb="FFFF0000"/>
      <name val="Calibri"/>
      <family val="2"/>
    </font>
    <font>
      <u/>
      <sz val="11"/>
      <color rgb="FFFF0000"/>
      <name val="Aptos Narrow"/>
      <family val="2"/>
      <scheme val="minor"/>
    </font>
    <font>
      <b/>
      <i/>
      <sz val="10"/>
      <color theme="1"/>
      <name val="Calibri"/>
    </font>
    <font>
      <i/>
      <sz val="11"/>
      <color theme="1"/>
      <name val="Calibri"/>
    </font>
    <font>
      <i/>
      <sz val="11"/>
      <color rgb="FF000000"/>
      <name val="Calibri"/>
    </font>
    <font>
      <i/>
      <sz val="11"/>
      <color theme="1"/>
      <name val="Aptos Narrow"/>
      <family val="2"/>
      <scheme val="minor"/>
    </font>
    <font>
      <i/>
      <sz val="11"/>
      <color rgb="FFFF0000"/>
      <name val="Aptos Narrow"/>
      <family val="2"/>
      <scheme val="minor"/>
    </font>
    <font>
      <i/>
      <sz val="11"/>
      <color rgb="FF00B0F0"/>
      <name val="Aptos Narrow"/>
      <family val="2"/>
      <scheme val="minor"/>
    </font>
    <font>
      <i/>
      <sz val="11"/>
      <color theme="4" tint="0.39997558519241921"/>
      <name val="Aptos Narrow"/>
      <family val="2"/>
      <scheme val="minor"/>
    </font>
    <font>
      <b/>
      <i/>
      <sz val="11"/>
      <color rgb="FF00B0F0"/>
      <name val="Aptos Narrow"/>
      <family val="2"/>
      <scheme val="minor"/>
    </font>
    <font>
      <b/>
      <i/>
      <sz val="11"/>
      <color theme="1"/>
      <name val="Aptos Narrow"/>
      <family val="2"/>
      <scheme val="minor"/>
    </font>
    <font>
      <sz val="11"/>
      <color rgb="FF00B0F0"/>
      <name val="Calibri"/>
    </font>
    <font>
      <strike/>
      <sz val="10"/>
      <color rgb="FF000000"/>
      <name val="Calibri"/>
    </font>
  </fonts>
  <fills count="1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rgb="FFFCE4D6"/>
        <bgColor rgb="FF000000"/>
      </patternFill>
    </fill>
    <fill>
      <patternFill patternType="solid">
        <fgColor rgb="FFFFFF00"/>
        <bgColor rgb="FF000000"/>
      </patternFill>
    </fill>
    <fill>
      <patternFill patternType="solid">
        <fgColor rgb="FF00B0F0"/>
        <bgColor rgb="FF000000"/>
      </patternFill>
    </fill>
    <fill>
      <patternFill patternType="solid">
        <fgColor rgb="FFFCE4D6"/>
        <bgColor indexed="64"/>
      </patternFill>
    </fill>
    <fill>
      <patternFill patternType="solid">
        <fgColor rgb="FF00B0F0"/>
        <bgColor indexed="64"/>
      </patternFill>
    </fill>
    <fill>
      <patternFill patternType="solid">
        <fgColor rgb="FFC6EFCE"/>
        <bgColor rgb="FF000000"/>
      </patternFill>
    </fill>
    <fill>
      <patternFill patternType="solid">
        <fgColor theme="6" tint="0.79998168889431442"/>
        <bgColor indexed="64"/>
      </patternFill>
    </fill>
    <fill>
      <patternFill patternType="solid">
        <fgColor rgb="FFC0F1C8"/>
        <bgColor rgb="FF000000"/>
      </patternFill>
    </fill>
    <fill>
      <patternFill patternType="solid">
        <fgColor rgb="FFFFFFFF"/>
        <bgColor indexed="64"/>
      </patternFill>
    </fill>
    <fill>
      <patternFill patternType="solid">
        <fgColor theme="0" tint="-0.249977111117893"/>
        <bgColor indexed="64"/>
      </patternFill>
    </fill>
  </fills>
  <borders count="13">
    <border>
      <left/>
      <right/>
      <top/>
      <bottom/>
      <diagonal/>
    </border>
    <border>
      <left/>
      <right/>
      <top style="thin">
        <color rgb="FF000000"/>
      </top>
      <bottom/>
      <diagonal/>
    </border>
    <border>
      <left/>
      <right/>
      <top/>
      <bottom style="thin">
        <color rgb="FF000000"/>
      </bottom>
      <diagonal/>
    </border>
    <border>
      <left/>
      <right/>
      <top/>
      <bottom style="thin">
        <color indexed="64"/>
      </bottom>
      <diagonal/>
    </border>
    <border>
      <left/>
      <right/>
      <top style="thin">
        <color indexed="64"/>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medium">
        <color rgb="FFF3F3F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s>
  <cellStyleXfs count="2">
    <xf numFmtId="0" fontId="0" fillId="0" borderId="0"/>
    <xf numFmtId="0" fontId="53" fillId="0" borderId="0" applyNumberFormat="0" applyFill="0" applyBorder="0" applyAlignment="0" applyProtection="0"/>
  </cellStyleXfs>
  <cellXfs count="302">
    <xf numFmtId="0" fontId="0" fillId="0" borderId="0" xfId="0"/>
    <xf numFmtId="0" fontId="1" fillId="0" borderId="0" xfId="0" applyFont="1"/>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4"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left"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1" fillId="3" borderId="0" xfId="0" applyFont="1" applyFill="1" applyAlignment="1">
      <alignment horizontal="center" vertical="center"/>
    </xf>
    <xf numFmtId="14" fontId="1" fillId="0" borderId="0" xfId="0" applyNumberFormat="1" applyFont="1" applyAlignment="1">
      <alignment horizontal="center" vertical="center"/>
    </xf>
    <xf numFmtId="14" fontId="1" fillId="0" borderId="0" xfId="0" applyNumberFormat="1" applyFont="1" applyAlignment="1">
      <alignment vertical="center"/>
    </xf>
    <xf numFmtId="14" fontId="1" fillId="3" borderId="0" xfId="0" applyNumberFormat="1" applyFont="1" applyFill="1" applyAlignment="1">
      <alignment horizontal="center" vertical="center"/>
    </xf>
    <xf numFmtId="14" fontId="1" fillId="4" borderId="0" xfId="0" applyNumberFormat="1" applyFont="1" applyFill="1" applyAlignment="1">
      <alignment horizontal="center" vertical="center"/>
    </xf>
    <xf numFmtId="0" fontId="3"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3" borderId="0" xfId="0" applyFill="1" applyAlignment="1">
      <alignment horizontal="center" vertical="center"/>
    </xf>
    <xf numFmtId="0" fontId="3" fillId="3" borderId="0" xfId="0" applyFont="1" applyFill="1" applyAlignment="1">
      <alignment horizontal="center" vertical="center"/>
    </xf>
    <xf numFmtId="0" fontId="6" fillId="0" borderId="0" xfId="0" applyFont="1"/>
    <xf numFmtId="0" fontId="7"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center" wrapText="1"/>
    </xf>
    <xf numFmtId="0" fontId="6" fillId="0" borderId="3" xfId="0" applyFont="1" applyBorder="1" applyAlignment="1">
      <alignment vertical="center" wrapText="1"/>
    </xf>
    <xf numFmtId="0" fontId="7" fillId="0" borderId="3" xfId="0" applyFont="1" applyBorder="1" applyAlignment="1">
      <alignment horizontal="center" vertical="center" wrapText="1"/>
    </xf>
    <xf numFmtId="0" fontId="7" fillId="5" borderId="3" xfId="0" applyFont="1" applyFill="1" applyBorder="1" applyAlignment="1">
      <alignment horizontal="center" vertical="center" wrapText="1"/>
    </xf>
    <xf numFmtId="0" fontId="7" fillId="0" borderId="0" xfId="0" applyFont="1" applyAlignment="1">
      <alignment horizontal="center" vertical="center" wrapText="1"/>
    </xf>
    <xf numFmtId="0" fontId="6" fillId="0" borderId="0" xfId="0" quotePrefix="1" applyFont="1" applyAlignment="1">
      <alignment horizontal="center" vertical="center"/>
    </xf>
    <xf numFmtId="0" fontId="7" fillId="5" borderId="0" xfId="0" applyFont="1" applyFill="1" applyAlignment="1">
      <alignment horizontal="center" vertical="center" wrapText="1"/>
    </xf>
    <xf numFmtId="0" fontId="6" fillId="0" borderId="0" xfId="0" applyFont="1" applyAlignment="1">
      <alignment horizontal="center" vertical="center"/>
    </xf>
    <xf numFmtId="0" fontId="6" fillId="0" borderId="3" xfId="0" quotePrefix="1" applyFont="1" applyBorder="1" applyAlignment="1">
      <alignment horizontal="center" vertical="center"/>
    </xf>
    <xf numFmtId="0" fontId="8" fillId="5" borderId="3" xfId="0" applyFont="1" applyFill="1" applyBorder="1" applyAlignment="1">
      <alignment horizontal="center" vertical="center" wrapText="1"/>
    </xf>
    <xf numFmtId="0" fontId="6" fillId="0" borderId="3" xfId="0" applyFont="1" applyBorder="1" applyAlignment="1">
      <alignment horizontal="center" vertical="center"/>
    </xf>
    <xf numFmtId="0" fontId="7" fillId="0" borderId="0" xfId="0" applyFont="1" applyAlignment="1">
      <alignment horizontal="center" vertical="center"/>
    </xf>
    <xf numFmtId="0" fontId="6" fillId="5" borderId="0" xfId="0" applyFont="1" applyFill="1" applyAlignment="1">
      <alignment horizontal="center" vertical="center"/>
    </xf>
    <xf numFmtId="0" fontId="7" fillId="3" borderId="3" xfId="0" applyFont="1" applyFill="1" applyBorder="1" applyAlignment="1">
      <alignment horizontal="center" vertical="center" wrapText="1"/>
    </xf>
    <xf numFmtId="0" fontId="7" fillId="3" borderId="0" xfId="0" applyFont="1" applyFill="1" applyAlignment="1">
      <alignment horizontal="center" vertical="center" wrapText="1"/>
    </xf>
    <xf numFmtId="0" fontId="8" fillId="3" borderId="3" xfId="0" applyFont="1" applyFill="1" applyBorder="1" applyAlignment="1">
      <alignment horizontal="center" vertical="center" wrapText="1"/>
    </xf>
    <xf numFmtId="0" fontId="6" fillId="3" borderId="0" xfId="0" applyFont="1" applyFill="1" applyAlignment="1">
      <alignment horizontal="center" vertical="center"/>
    </xf>
    <xf numFmtId="0" fontId="6" fillId="0" borderId="0" xfId="0" applyFont="1" applyAlignment="1">
      <alignment horizontal="center"/>
    </xf>
    <xf numFmtId="0" fontId="6" fillId="5" borderId="0" xfId="0" quotePrefix="1" applyFont="1" applyFill="1" applyAlignment="1">
      <alignment horizontal="center" vertical="center"/>
    </xf>
    <xf numFmtId="0" fontId="6" fillId="5" borderId="3" xfId="0" quotePrefix="1" applyFont="1" applyFill="1" applyBorder="1" applyAlignment="1">
      <alignment horizontal="center" vertical="center"/>
    </xf>
    <xf numFmtId="0" fontId="6" fillId="0" borderId="4" xfId="0" applyFont="1" applyBorder="1"/>
    <xf numFmtId="0" fontId="9" fillId="6" borderId="0" xfId="0" applyFont="1" applyFill="1" applyAlignment="1">
      <alignment horizontal="center" vertical="center"/>
    </xf>
    <xf numFmtId="0" fontId="6" fillId="0" borderId="4" xfId="0" applyFont="1" applyBorder="1" applyAlignment="1">
      <alignment horizontal="center" vertical="center"/>
    </xf>
    <xf numFmtId="0" fontId="0" fillId="0" borderId="0" xfId="0" applyAlignment="1">
      <alignment horizontal="center"/>
    </xf>
    <xf numFmtId="0" fontId="6" fillId="0" borderId="4" xfId="0" applyFont="1" applyBorder="1" applyAlignment="1">
      <alignment horizontal="center"/>
    </xf>
    <xf numFmtId="0" fontId="6" fillId="3" borderId="0" xfId="0" quotePrefix="1" applyFont="1" applyFill="1" applyAlignment="1">
      <alignment horizontal="center" vertical="center"/>
    </xf>
    <xf numFmtId="0" fontId="6" fillId="3" borderId="3" xfId="0" quotePrefix="1" applyFont="1" applyFill="1" applyBorder="1" applyAlignment="1">
      <alignment horizontal="center" vertical="center"/>
    </xf>
    <xf numFmtId="0" fontId="6" fillId="3" borderId="4" xfId="0" applyFont="1" applyFill="1" applyBorder="1" applyAlignment="1">
      <alignment horizontal="center"/>
    </xf>
    <xf numFmtId="0" fontId="6" fillId="3" borderId="0" xfId="0" applyFont="1" applyFill="1" applyAlignment="1">
      <alignment horizontal="center"/>
    </xf>
    <xf numFmtId="0" fontId="7" fillId="0" borderId="0" xfId="0" applyFont="1" applyAlignment="1">
      <alignment vertical="center"/>
    </xf>
    <xf numFmtId="0" fontId="8" fillId="0" borderId="0" xfId="0" applyFont="1" applyAlignment="1">
      <alignment horizontal="center" vertical="center" wrapText="1"/>
    </xf>
    <xf numFmtId="0" fontId="7" fillId="0" borderId="4" xfId="0" applyFont="1" applyBorder="1" applyAlignment="1">
      <alignment horizontal="center" vertical="center" wrapText="1"/>
    </xf>
    <xf numFmtId="0" fontId="10" fillId="0" borderId="0" xfId="0" applyFont="1" applyAlignment="1">
      <alignment horizontal="center" vertical="center" wrapText="1"/>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vertical="center"/>
    </xf>
    <xf numFmtId="0" fontId="10" fillId="2" borderId="0" xfId="0" applyFont="1" applyFill="1" applyAlignment="1">
      <alignment horizontal="center" vertical="center" wrapText="1"/>
    </xf>
    <xf numFmtId="0" fontId="6" fillId="7" borderId="0" xfId="0" applyFont="1" applyFill="1" applyAlignment="1">
      <alignment horizontal="center" vertical="center"/>
    </xf>
    <xf numFmtId="0" fontId="6" fillId="0" borderId="0" xfId="0" applyFont="1" applyAlignment="1">
      <alignment horizontal="left" vertical="center"/>
    </xf>
    <xf numFmtId="0" fontId="7" fillId="5" borderId="0" xfId="0" applyFont="1" applyFill="1" applyAlignment="1">
      <alignment horizontal="center" vertical="center"/>
    </xf>
    <xf numFmtId="0" fontId="7" fillId="0" borderId="0" xfId="0" applyFont="1" applyAlignment="1">
      <alignment horizontal="center"/>
    </xf>
    <xf numFmtId="0" fontId="6" fillId="8" borderId="0" xfId="0" applyFont="1" applyFill="1" applyAlignment="1">
      <alignment horizontal="center"/>
    </xf>
    <xf numFmtId="0" fontId="7" fillId="8" borderId="0" xfId="0" applyFont="1" applyFill="1" applyAlignment="1">
      <alignment horizontal="center"/>
    </xf>
    <xf numFmtId="0" fontId="6" fillId="9" borderId="0" xfId="0" applyFont="1" applyFill="1" applyAlignment="1">
      <alignment horizontal="center"/>
    </xf>
    <xf numFmtId="0" fontId="0" fillId="0" borderId="0" xfId="0" quotePrefix="1"/>
    <xf numFmtId="0" fontId="7" fillId="3" borderId="0" xfId="0" applyFont="1" applyFill="1" applyAlignment="1">
      <alignment horizontal="center"/>
    </xf>
    <xf numFmtId="0" fontId="1" fillId="0" borderId="0" xfId="0" applyFont="1" applyAlignment="1">
      <alignment horizontal="center"/>
    </xf>
    <xf numFmtId="0" fontId="13" fillId="0" borderId="0" xfId="0" applyFont="1" applyAlignment="1">
      <alignment horizontal="center" vertical="center" wrapText="1"/>
    </xf>
    <xf numFmtId="0" fontId="14" fillId="5" borderId="3"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0" borderId="0" xfId="0" applyFont="1" applyAlignment="1">
      <alignment horizontal="center" vertical="center"/>
    </xf>
    <xf numFmtId="0" fontId="15" fillId="0" borderId="0" xfId="0" applyFont="1" applyAlignment="1">
      <alignment horizontal="center" vertical="center" wrapText="1"/>
    </xf>
    <xf numFmtId="0" fontId="2" fillId="0" borderId="2" xfId="0" applyFont="1" applyBorder="1" applyAlignment="1">
      <alignment horizontal="center" vertical="center"/>
    </xf>
    <xf numFmtId="0" fontId="16" fillId="0" borderId="0" xfId="0" applyFont="1" applyAlignment="1">
      <alignment vertical="center"/>
    </xf>
    <xf numFmtId="0" fontId="11" fillId="0" borderId="0" xfId="0" applyFont="1" applyAlignment="1">
      <alignment vertical="center"/>
    </xf>
    <xf numFmtId="0" fontId="7" fillId="5" borderId="0" xfId="0" quotePrefix="1" applyFont="1" applyFill="1" applyAlignment="1">
      <alignment horizontal="center" vertical="center"/>
    </xf>
    <xf numFmtId="14" fontId="17" fillId="10" borderId="0" xfId="0" applyNumberFormat="1" applyFont="1" applyFill="1"/>
    <xf numFmtId="14" fontId="18" fillId="0" borderId="0" xfId="0" applyNumberFormat="1" applyFont="1"/>
    <xf numFmtId="14" fontId="0" fillId="0" borderId="0" xfId="0" applyNumberFormat="1" applyAlignment="1">
      <alignment vertical="center"/>
    </xf>
    <xf numFmtId="0" fontId="19" fillId="0" borderId="0" xfId="0" applyFont="1" applyAlignment="1">
      <alignment horizontal="center" vertical="center"/>
    </xf>
    <xf numFmtId="0" fontId="20" fillId="0" borderId="0" xfId="0" applyFont="1" applyAlignment="1">
      <alignment vertical="center"/>
    </xf>
    <xf numFmtId="14" fontId="20" fillId="0" borderId="0" xfId="0" applyNumberFormat="1" applyFont="1" applyAlignment="1">
      <alignment vertical="center"/>
    </xf>
    <xf numFmtId="0" fontId="20" fillId="0" borderId="0" xfId="0" applyFont="1" applyAlignment="1">
      <alignment horizontal="center" vertical="center"/>
    </xf>
    <xf numFmtId="0" fontId="19" fillId="3" borderId="0" xfId="0" applyFont="1" applyFill="1" applyAlignment="1">
      <alignment horizontal="center" vertical="center"/>
    </xf>
    <xf numFmtId="0" fontId="20" fillId="3" borderId="0" xfId="0" applyFont="1" applyFill="1" applyAlignment="1">
      <alignment horizontal="center" vertical="center"/>
    </xf>
    <xf numFmtId="0" fontId="20" fillId="0" borderId="0" xfId="0" applyFont="1"/>
    <xf numFmtId="14" fontId="22" fillId="10" borderId="0" xfId="0" applyNumberFormat="1" applyFont="1" applyFill="1"/>
    <xf numFmtId="0" fontId="22" fillId="10" borderId="0" xfId="0" applyFont="1" applyFill="1"/>
    <xf numFmtId="0" fontId="17" fillId="10" borderId="0" xfId="0" applyFont="1" applyFill="1"/>
    <xf numFmtId="0" fontId="18" fillId="0" borderId="0" xfId="0" applyFont="1"/>
    <xf numFmtId="14" fontId="18" fillId="12" borderId="0" xfId="0" applyNumberFormat="1" applyFont="1" applyFill="1"/>
    <xf numFmtId="0" fontId="0" fillId="4" borderId="0" xfId="0" applyFill="1" applyAlignment="1">
      <alignment horizontal="center" vertical="center"/>
    </xf>
    <xf numFmtId="14" fontId="0" fillId="0" borderId="0" xfId="0" applyNumberFormat="1"/>
    <xf numFmtId="0" fontId="19" fillId="0" borderId="0" xfId="0" applyFont="1"/>
    <xf numFmtId="0" fontId="23" fillId="2" borderId="6" xfId="0" applyFont="1" applyFill="1" applyBorder="1" applyAlignment="1">
      <alignment wrapText="1" readingOrder="1"/>
    </xf>
    <xf numFmtId="0" fontId="23" fillId="2" borderId="6" xfId="0" applyFont="1" applyFill="1" applyBorder="1" applyAlignment="1">
      <alignment readingOrder="1"/>
    </xf>
    <xf numFmtId="0" fontId="0" fillId="2" borderId="6" xfId="0" applyFill="1" applyBorder="1"/>
    <xf numFmtId="0" fontId="25" fillId="3" borderId="0" xfId="0" applyFont="1" applyFill="1" applyAlignment="1">
      <alignment horizontal="center" vertical="center"/>
    </xf>
    <xf numFmtId="0" fontId="29" fillId="0" borderId="0" xfId="0" applyFont="1" applyAlignment="1">
      <alignment horizontal="center"/>
    </xf>
    <xf numFmtId="0" fontId="29" fillId="0" borderId="0" xfId="0" applyFont="1"/>
    <xf numFmtId="0" fontId="29" fillId="0" borderId="0" xfId="0" applyFont="1" applyAlignment="1">
      <alignment horizontal="center" vertical="center"/>
    </xf>
    <xf numFmtId="0" fontId="31" fillId="0" borderId="0" xfId="0" applyFont="1" applyAlignment="1">
      <alignment horizontal="center" vertical="center"/>
    </xf>
    <xf numFmtId="0" fontId="29" fillId="0" borderId="0" xfId="0" applyFont="1" applyAlignment="1">
      <alignment horizontal="right"/>
    </xf>
    <xf numFmtId="0" fontId="32" fillId="0" borderId="0" xfId="0" applyFont="1" applyAlignment="1">
      <alignment horizontal="center" vertical="center"/>
    </xf>
    <xf numFmtId="0" fontId="33" fillId="13" borderId="7" xfId="0" applyFont="1" applyFill="1" applyBorder="1"/>
    <xf numFmtId="0" fontId="30" fillId="0" borderId="0" xfId="0" applyFont="1"/>
    <xf numFmtId="0" fontId="21" fillId="0" borderId="5" xfId="0" applyFont="1" applyBorder="1" applyAlignment="1">
      <alignment vertical="center" wrapText="1"/>
    </xf>
    <xf numFmtId="0" fontId="28" fillId="0" borderId="0" xfId="0" applyFont="1" applyAlignment="1">
      <alignment wrapText="1"/>
    </xf>
    <xf numFmtId="0" fontId="20" fillId="0" borderId="0" xfId="0" applyFont="1" applyAlignment="1">
      <alignment wrapText="1"/>
    </xf>
    <xf numFmtId="0" fontId="0" fillId="0" borderId="0" xfId="0" applyAlignment="1">
      <alignment wrapText="1"/>
    </xf>
    <xf numFmtId="0" fontId="34" fillId="0" borderId="0" xfId="0" applyFont="1" applyAlignment="1">
      <alignment horizontal="center" vertical="center" wrapText="1"/>
    </xf>
    <xf numFmtId="0" fontId="35" fillId="0" borderId="2" xfId="0" applyFont="1" applyBorder="1" applyAlignment="1">
      <alignment horizontal="center" vertical="center" wrapText="1"/>
    </xf>
    <xf numFmtId="0" fontId="35" fillId="0" borderId="0" xfId="0" applyFont="1"/>
    <xf numFmtId="0" fontId="36" fillId="0" borderId="0" xfId="0" applyFont="1" applyAlignment="1">
      <alignment vertical="center"/>
    </xf>
    <xf numFmtId="0" fontId="37" fillId="0" borderId="0" xfId="0" applyFont="1" applyAlignment="1">
      <alignment vertical="center"/>
    </xf>
    <xf numFmtId="0" fontId="38" fillId="3" borderId="0" xfId="0" applyFont="1" applyFill="1" applyAlignment="1">
      <alignment horizontal="center" vertical="center"/>
    </xf>
    <xf numFmtId="0" fontId="0" fillId="9" borderId="6" xfId="0" applyFill="1" applyBorder="1"/>
    <xf numFmtId="0" fontId="39" fillId="0" borderId="0" xfId="0" applyFont="1" applyAlignment="1">
      <alignment vertical="center"/>
    </xf>
    <xf numFmtId="0" fontId="40" fillId="0" borderId="0" xfId="0" applyFont="1"/>
    <xf numFmtId="16" fontId="6" fillId="0" borderId="4" xfId="0" quotePrefix="1" applyNumberFormat="1" applyFont="1" applyBorder="1" applyAlignment="1">
      <alignment horizontal="center" vertical="center" wrapText="1"/>
    </xf>
    <xf numFmtId="16" fontId="6" fillId="0" borderId="3" xfId="0" quotePrefix="1" applyNumberFormat="1" applyFont="1" applyBorder="1" applyAlignment="1">
      <alignment horizontal="center" vertical="center" wrapText="1"/>
    </xf>
    <xf numFmtId="14" fontId="38" fillId="0" borderId="0" xfId="0" applyNumberFormat="1" applyFont="1"/>
    <xf numFmtId="14" fontId="42" fillId="0" borderId="0" xfId="0" applyNumberFormat="1" applyFont="1"/>
    <xf numFmtId="0" fontId="35" fillId="0" borderId="0" xfId="0" applyFont="1" applyAlignment="1">
      <alignment wrapText="1"/>
    </xf>
    <xf numFmtId="0" fontId="20" fillId="0" borderId="0" xfId="0" applyFont="1" applyAlignment="1">
      <alignment vertical="center" wrapText="1"/>
    </xf>
    <xf numFmtId="0" fontId="36" fillId="0" borderId="0" xfId="0" applyFont="1" applyAlignment="1">
      <alignment vertical="center" wrapText="1"/>
    </xf>
    <xf numFmtId="0" fontId="37" fillId="0" borderId="0" xfId="0" applyFont="1" applyAlignment="1">
      <alignment vertical="center" wrapText="1"/>
    </xf>
    <xf numFmtId="0" fontId="41" fillId="0" borderId="0" xfId="0" applyFont="1" applyAlignment="1">
      <alignment vertical="center" wrapText="1"/>
    </xf>
    <xf numFmtId="49" fontId="3" fillId="0" borderId="6" xfId="0" applyNumberFormat="1" applyFont="1" applyBorder="1" applyAlignment="1">
      <alignment horizontal="right"/>
    </xf>
    <xf numFmtId="49" fontId="24" fillId="0" borderId="8" xfId="0" applyNumberFormat="1" applyFont="1" applyBorder="1" applyAlignment="1">
      <alignment wrapText="1" readingOrder="1"/>
    </xf>
    <xf numFmtId="49" fontId="24" fillId="0" borderId="8" xfId="0" applyNumberFormat="1" applyFont="1" applyBorder="1" applyAlignment="1">
      <alignment readingOrder="1"/>
    </xf>
    <xf numFmtId="49" fontId="3" fillId="0" borderId="8" xfId="0" applyNumberFormat="1" applyFont="1" applyBorder="1"/>
    <xf numFmtId="49" fontId="3" fillId="0" borderId="8" xfId="0" applyNumberFormat="1" applyFont="1" applyBorder="1" applyAlignment="1">
      <alignment horizontal="right"/>
    </xf>
    <xf numFmtId="49" fontId="3" fillId="0" borderId="6" xfId="0" applyNumberFormat="1" applyFont="1" applyBorder="1"/>
    <xf numFmtId="49" fontId="3" fillId="0" borderId="9" xfId="0" applyNumberFormat="1" applyFont="1" applyBorder="1"/>
    <xf numFmtId="0" fontId="0" fillId="2" borderId="8" xfId="0" applyFill="1" applyBorder="1"/>
    <xf numFmtId="0" fontId="43" fillId="0" borderId="0" xfId="0" applyFont="1" applyAlignment="1">
      <alignment vertical="center"/>
    </xf>
    <xf numFmtId="14" fontId="43" fillId="0" borderId="0" xfId="0" applyNumberFormat="1" applyFont="1" applyAlignment="1">
      <alignment vertical="center"/>
    </xf>
    <xf numFmtId="0" fontId="43" fillId="0" borderId="0" xfId="0" applyFont="1" applyAlignment="1">
      <alignment horizontal="center" vertical="center"/>
    </xf>
    <xf numFmtId="0" fontId="44" fillId="0" borderId="0" xfId="0" applyFont="1" applyAlignment="1">
      <alignment horizontal="center" vertical="center"/>
    </xf>
    <xf numFmtId="0" fontId="35" fillId="0" borderId="0" xfId="0" applyFont="1" applyAlignment="1">
      <alignment horizontal="center"/>
    </xf>
    <xf numFmtId="0" fontId="45" fillId="5" borderId="0" xfId="0" applyFont="1" applyFill="1" applyAlignment="1">
      <alignment horizontal="center" vertical="center"/>
    </xf>
    <xf numFmtId="0" fontId="46" fillId="0" borderId="0" xfId="0" applyFont="1" applyAlignment="1">
      <alignment horizontal="center"/>
    </xf>
    <xf numFmtId="0" fontId="0" fillId="0" borderId="0" xfId="0" applyAlignment="1">
      <alignment horizontal="center" vertical="center" wrapText="1"/>
    </xf>
    <xf numFmtId="14" fontId="0" fillId="0" borderId="0" xfId="0" applyNumberFormat="1" applyAlignment="1">
      <alignment horizontal="center" vertical="center" wrapText="1"/>
    </xf>
    <xf numFmtId="0" fontId="47" fillId="0" borderId="0" xfId="0" applyFont="1" applyAlignment="1">
      <alignment horizontal="center" vertical="center"/>
    </xf>
    <xf numFmtId="14" fontId="48" fillId="0" borderId="0" xfId="0" applyNumberFormat="1" applyFont="1" applyAlignment="1">
      <alignment horizontal="center"/>
    </xf>
    <xf numFmtId="0" fontId="48" fillId="0" borderId="0" xfId="0" applyFont="1" applyAlignment="1">
      <alignment horizontal="center"/>
    </xf>
    <xf numFmtId="0" fontId="49" fillId="0" borderId="0" xfId="0" applyFont="1"/>
    <xf numFmtId="0" fontId="27" fillId="0" borderId="0" xfId="0" applyFont="1" applyAlignment="1">
      <alignment vertical="center"/>
    </xf>
    <xf numFmtId="14" fontId="27" fillId="0" borderId="0" xfId="0" applyNumberFormat="1" applyFont="1" applyAlignment="1">
      <alignment vertical="center"/>
    </xf>
    <xf numFmtId="0" fontId="27" fillId="0" borderId="0" xfId="0" applyFont="1" applyAlignment="1">
      <alignment horizontal="center" vertical="center"/>
    </xf>
    <xf numFmtId="0" fontId="26" fillId="3" borderId="0" xfId="0" applyFont="1" applyFill="1" applyAlignment="1">
      <alignment horizontal="center" vertical="center"/>
    </xf>
    <xf numFmtId="0" fontId="50" fillId="0" borderId="0" xfId="0" applyFont="1" applyAlignment="1">
      <alignment horizontal="center" vertical="center"/>
    </xf>
    <xf numFmtId="14" fontId="0" fillId="0" borderId="0" xfId="0" applyNumberFormat="1" applyAlignment="1">
      <alignment horizontal="center" vertical="center"/>
    </xf>
    <xf numFmtId="0" fontId="19" fillId="0" borderId="0" xfId="0" applyFont="1" applyAlignment="1">
      <alignment vertical="center"/>
    </xf>
    <xf numFmtId="0" fontId="51" fillId="0" borderId="0" xfId="0" applyFont="1" applyAlignment="1">
      <alignment horizontal="center"/>
    </xf>
    <xf numFmtId="0" fontId="52" fillId="0" borderId="0" xfId="0" applyFont="1"/>
    <xf numFmtId="0" fontId="3" fillId="0" borderId="0" xfId="0" applyFont="1" applyAlignment="1">
      <alignment horizontal="center" vertical="center" wrapText="1"/>
    </xf>
    <xf numFmtId="14" fontId="1" fillId="0" borderId="0" xfId="0" applyNumberFormat="1" applyFont="1"/>
    <xf numFmtId="0" fontId="26" fillId="0" borderId="0" xfId="0" applyFont="1" applyAlignment="1">
      <alignment horizontal="center" vertical="center"/>
    </xf>
    <xf numFmtId="14" fontId="54" fillId="0" borderId="8" xfId="0" applyNumberFormat="1" applyFont="1" applyBorder="1"/>
    <xf numFmtId="0" fontId="54" fillId="0" borderId="10" xfId="0" applyFont="1" applyBorder="1"/>
    <xf numFmtId="14" fontId="54" fillId="0" borderId="10" xfId="0" applyNumberFormat="1" applyFont="1" applyBorder="1"/>
    <xf numFmtId="0" fontId="40" fillId="0" borderId="0" xfId="0" applyFont="1" applyAlignment="1">
      <alignment horizontal="center" vertical="center"/>
    </xf>
    <xf numFmtId="0" fontId="40" fillId="4" borderId="0" xfId="0" applyFont="1" applyFill="1" applyAlignment="1">
      <alignment horizontal="center" vertical="center"/>
    </xf>
    <xf numFmtId="0" fontId="55" fillId="0" borderId="0" xfId="0" applyFont="1" applyAlignment="1">
      <alignment horizontal="center" vertical="center"/>
    </xf>
    <xf numFmtId="14" fontId="40" fillId="0" borderId="0" xfId="0" applyNumberFormat="1" applyFont="1" applyAlignment="1">
      <alignment horizontal="center" vertical="center"/>
    </xf>
    <xf numFmtId="16" fontId="7" fillId="0" borderId="0" xfId="0" applyNumberFormat="1" applyFont="1" applyAlignment="1">
      <alignment horizontal="center" vertical="center" wrapText="1"/>
    </xf>
    <xf numFmtId="0" fontId="56" fillId="0" borderId="0" xfId="0" applyFont="1"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64" fontId="7" fillId="5" borderId="0" xfId="0" quotePrefix="1" applyNumberFormat="1" applyFont="1" applyFill="1" applyAlignment="1">
      <alignment horizontal="center" vertical="center"/>
    </xf>
    <xf numFmtId="0" fontId="7" fillId="5" borderId="0" xfId="0" quotePrefix="1" applyFont="1" applyFill="1" applyAlignment="1">
      <alignment horizontal="center" vertical="center" wrapText="1"/>
    </xf>
    <xf numFmtId="0" fontId="7" fillId="5" borderId="2" xfId="0" quotePrefix="1" applyFont="1" applyFill="1" applyBorder="1" applyAlignment="1">
      <alignment horizontal="center" vertical="center" wrapText="1"/>
    </xf>
    <xf numFmtId="0" fontId="7" fillId="5" borderId="2" xfId="0" applyFont="1" applyFill="1" applyBorder="1" applyAlignment="1">
      <alignment horizontal="center" vertical="center" wrapText="1"/>
    </xf>
    <xf numFmtId="0" fontId="5" fillId="5" borderId="0" xfId="0" applyFont="1" applyFill="1" applyAlignment="1">
      <alignment horizontal="center" vertical="center" wrapText="1"/>
    </xf>
    <xf numFmtId="0" fontId="35" fillId="0" borderId="0" xfId="0" applyFont="1" applyAlignment="1">
      <alignment horizontal="left" vertical="center" wrapText="1"/>
    </xf>
    <xf numFmtId="0" fontId="35" fillId="0" borderId="0" xfId="0" applyFont="1" applyAlignment="1">
      <alignment horizontal="left" vertical="center"/>
    </xf>
    <xf numFmtId="14" fontId="6" fillId="0" borderId="0" xfId="0" applyNumberFormat="1" applyFont="1"/>
    <xf numFmtId="0" fontId="27" fillId="3" borderId="0" xfId="0" applyFont="1" applyFill="1" applyAlignment="1">
      <alignment horizontal="center" vertical="center"/>
    </xf>
    <xf numFmtId="0" fontId="27" fillId="0" borderId="0" xfId="0" applyFont="1"/>
    <xf numFmtId="14" fontId="26" fillId="0" borderId="0" xfId="0" applyNumberFormat="1" applyFont="1"/>
    <xf numFmtId="0" fontId="26" fillId="0" borderId="0" xfId="0" applyFont="1" applyAlignment="1">
      <alignment horizontal="center"/>
    </xf>
    <xf numFmtId="0" fontId="26" fillId="0" borderId="0" xfId="0" applyFont="1" applyAlignment="1">
      <alignment vertical="center"/>
    </xf>
    <xf numFmtId="0" fontId="26" fillId="0" borderId="0" xfId="0" applyFont="1"/>
    <xf numFmtId="0" fontId="26" fillId="0" borderId="0" xfId="0" applyFont="1" applyAlignment="1">
      <alignment wrapText="1"/>
    </xf>
    <xf numFmtId="0" fontId="27" fillId="0" borderId="0" xfId="0" applyFont="1" applyAlignment="1">
      <alignment wrapText="1"/>
    </xf>
    <xf numFmtId="0" fontId="5" fillId="5" borderId="0" xfId="0" applyFont="1" applyFill="1" applyAlignment="1">
      <alignment horizontal="center" vertical="center"/>
    </xf>
    <xf numFmtId="14" fontId="26" fillId="0" borderId="0" xfId="0" applyNumberFormat="1" applyFont="1" applyAlignment="1">
      <alignment vertical="center"/>
    </xf>
    <xf numFmtId="0" fontId="26" fillId="4" borderId="0" xfId="0" applyFont="1" applyFill="1" applyAlignment="1">
      <alignment horizontal="center" vertical="center"/>
    </xf>
    <xf numFmtId="0" fontId="5" fillId="0" borderId="0" xfId="0" applyFont="1" applyAlignment="1">
      <alignment horizontal="center" vertical="center" wrapText="1"/>
    </xf>
    <xf numFmtId="0" fontId="4" fillId="6" borderId="0" xfId="0" applyFont="1" applyFill="1" applyAlignment="1">
      <alignment horizontal="center" vertical="center"/>
    </xf>
    <xf numFmtId="0" fontId="5" fillId="0" borderId="3" xfId="0" applyFont="1" applyBorder="1" applyAlignment="1">
      <alignment horizontal="center" vertical="center" wrapText="1"/>
    </xf>
    <xf numFmtId="0" fontId="5" fillId="3" borderId="0" xfId="0" applyFont="1" applyFill="1" applyAlignment="1">
      <alignment horizontal="center" vertical="center" wrapText="1"/>
    </xf>
    <xf numFmtId="0" fontId="23" fillId="0" borderId="0" xfId="0" applyFont="1" applyAlignment="1">
      <alignment horizontal="center"/>
    </xf>
    <xf numFmtId="164" fontId="45" fillId="5" borderId="0" xfId="0" quotePrefix="1" applyNumberFormat="1" applyFont="1" applyFill="1" applyAlignment="1">
      <alignment horizontal="center" vertical="center"/>
    </xf>
    <xf numFmtId="0" fontId="53" fillId="0" borderId="0" xfId="1" applyAlignment="1">
      <alignment vertical="center"/>
    </xf>
    <xf numFmtId="165" fontId="7" fillId="5" borderId="0" xfId="0" applyNumberFormat="1" applyFont="1" applyFill="1" applyAlignment="1">
      <alignment horizontal="center" vertical="center"/>
    </xf>
    <xf numFmtId="165" fontId="7" fillId="5" borderId="0" xfId="0" quotePrefix="1" applyNumberFormat="1" applyFont="1" applyFill="1" applyAlignment="1">
      <alignment horizontal="center" vertical="center"/>
    </xf>
    <xf numFmtId="165" fontId="3" fillId="3" borderId="0" xfId="0" applyNumberFormat="1" applyFont="1" applyFill="1" applyAlignment="1">
      <alignment horizontal="center" vertical="center"/>
    </xf>
    <xf numFmtId="0" fontId="0" fillId="9" borderId="11" xfId="0" applyFill="1" applyBorder="1"/>
    <xf numFmtId="165" fontId="60" fillId="5" borderId="0" xfId="0" applyNumberFormat="1" applyFont="1" applyFill="1" applyAlignment="1">
      <alignment horizontal="center" vertical="center"/>
    </xf>
    <xf numFmtId="165" fontId="45" fillId="5" borderId="0" xfId="0" quotePrefix="1" applyNumberFormat="1" applyFont="1" applyFill="1" applyAlignment="1">
      <alignment horizontal="center" vertical="center"/>
    </xf>
    <xf numFmtId="165" fontId="45" fillId="5" borderId="0" xfId="0" applyNumberFormat="1" applyFont="1" applyFill="1" applyAlignment="1">
      <alignment horizontal="center" vertical="center"/>
    </xf>
    <xf numFmtId="0" fontId="61" fillId="0" borderId="0" xfId="0" applyFont="1" applyAlignment="1">
      <alignment horizontal="center" vertical="center" wrapText="1"/>
    </xf>
    <xf numFmtId="16" fontId="58" fillId="0" borderId="0" xfId="0" quotePrefix="1" applyNumberFormat="1" applyFont="1" applyAlignment="1">
      <alignment horizontal="center" vertical="center" wrapText="1"/>
    </xf>
    <xf numFmtId="0" fontId="62" fillId="0" borderId="0" xfId="0" applyFont="1" applyAlignment="1">
      <alignment horizontal="center" vertical="center"/>
    </xf>
    <xf numFmtId="0" fontId="57" fillId="2" borderId="12" xfId="0" applyFont="1" applyFill="1" applyBorder="1" applyAlignment="1">
      <alignment horizontal="center" vertical="center" wrapText="1"/>
    </xf>
    <xf numFmtId="0" fontId="19" fillId="2" borderId="12" xfId="0" applyFont="1" applyFill="1" applyBorder="1"/>
    <xf numFmtId="0" fontId="63" fillId="0" borderId="2" xfId="0" applyFont="1" applyBorder="1" applyAlignment="1">
      <alignment horizontal="center" vertical="center"/>
    </xf>
    <xf numFmtId="0" fontId="3" fillId="0" borderId="2" xfId="0" applyFont="1" applyBorder="1"/>
    <xf numFmtId="165" fontId="61" fillId="5" borderId="0" xfId="0" applyNumberFormat="1" applyFont="1" applyFill="1" applyAlignment="1">
      <alignment horizontal="center" vertical="center"/>
    </xf>
    <xf numFmtId="0" fontId="53" fillId="0" borderId="0" xfId="1" applyAlignment="1">
      <alignment vertical="center" wrapText="1"/>
    </xf>
    <xf numFmtId="14" fontId="59" fillId="0" borderId="0" xfId="0" applyNumberFormat="1" applyFont="1" applyAlignment="1">
      <alignment vertical="center"/>
    </xf>
    <xf numFmtId="14" fontId="64" fillId="10" borderId="0" xfId="0" applyNumberFormat="1" applyFont="1" applyFill="1"/>
    <xf numFmtId="14" fontId="65" fillId="0" borderId="0" xfId="0" applyNumberFormat="1" applyFont="1"/>
    <xf numFmtId="14" fontId="65" fillId="11" borderId="0" xfId="0" applyNumberFormat="1" applyFont="1" applyFill="1"/>
    <xf numFmtId="14" fontId="65" fillId="4" borderId="0" xfId="0" applyNumberFormat="1" applyFont="1" applyFill="1"/>
    <xf numFmtId="0" fontId="59" fillId="0" borderId="0" xfId="0" applyFont="1" applyAlignment="1">
      <alignment vertical="center"/>
    </xf>
    <xf numFmtId="0" fontId="58" fillId="7" borderId="0" xfId="0" applyFont="1" applyFill="1" applyAlignment="1">
      <alignment horizontal="center" vertical="center"/>
    </xf>
    <xf numFmtId="0" fontId="58" fillId="0" borderId="0" xfId="0" applyFont="1" applyAlignment="1">
      <alignment horizontal="center" vertical="center"/>
    </xf>
    <xf numFmtId="0" fontId="57" fillId="0" borderId="1" xfId="0" applyFont="1" applyBorder="1" applyAlignment="1">
      <alignment horizontal="center" vertical="center" wrapText="1"/>
    </xf>
    <xf numFmtId="0" fontId="59" fillId="0" borderId="0" xfId="0" applyFont="1" applyAlignment="1">
      <alignment horizontal="center" vertical="center"/>
    </xf>
    <xf numFmtId="0" fontId="58" fillId="0" borderId="0" xfId="0" applyFont="1" applyAlignment="1">
      <alignment horizontal="center"/>
    </xf>
    <xf numFmtId="0" fontId="59" fillId="0" borderId="2" xfId="0" applyFont="1" applyBorder="1" applyAlignment="1">
      <alignment horizontal="center" vertical="center" wrapText="1"/>
    </xf>
    <xf numFmtId="0" fontId="66" fillId="0" borderId="0" xfId="0" applyFont="1" applyAlignment="1">
      <alignment horizontal="center" vertical="center" wrapText="1"/>
    </xf>
    <xf numFmtId="0" fontId="59" fillId="0" borderId="1" xfId="0" applyFont="1" applyBorder="1" applyAlignment="1">
      <alignment horizontal="center" vertical="center" wrapText="1"/>
    </xf>
    <xf numFmtId="0" fontId="19" fillId="4" borderId="0" xfId="0" applyFont="1" applyFill="1" applyAlignment="1">
      <alignment horizontal="center" vertical="center"/>
    </xf>
    <xf numFmtId="0" fontId="56" fillId="0" borderId="0" xfId="0" applyFont="1" applyAlignment="1">
      <alignment horizontal="left" vertical="center" wrapText="1"/>
    </xf>
    <xf numFmtId="0" fontId="56" fillId="0" borderId="0" xfId="0" applyFont="1" applyAlignment="1">
      <alignment horizontal="center" vertical="center"/>
    </xf>
    <xf numFmtId="0" fontId="67" fillId="0" borderId="0" xfId="0" applyFont="1" applyAlignment="1">
      <alignment horizontal="left" vertical="center"/>
    </xf>
    <xf numFmtId="0" fontId="56" fillId="0" borderId="0" xfId="0" applyFont="1" applyAlignment="1">
      <alignment horizontal="left" vertical="center"/>
    </xf>
    <xf numFmtId="0" fontId="70" fillId="0" borderId="0" xfId="1" applyFont="1" applyAlignment="1">
      <alignment vertical="center" wrapText="1"/>
    </xf>
    <xf numFmtId="0" fontId="70" fillId="0" borderId="0" xfId="1" applyFont="1" applyAlignment="1">
      <alignment horizontal="left" vertical="center" wrapText="1"/>
    </xf>
    <xf numFmtId="0" fontId="70" fillId="0" borderId="0" xfId="1" applyFont="1" applyAlignment="1">
      <alignment vertical="center"/>
    </xf>
    <xf numFmtId="0" fontId="71" fillId="0" borderId="0" xfId="0" applyFont="1" applyAlignment="1">
      <alignment horizontal="left" vertical="center" wrapText="1"/>
    </xf>
    <xf numFmtId="0" fontId="72" fillId="0" borderId="0" xfId="1" applyFont="1" applyAlignment="1">
      <alignment horizontal="left" vertical="center" wrapText="1"/>
    </xf>
    <xf numFmtId="0" fontId="56" fillId="0" borderId="0" xfId="0" applyFont="1" applyAlignment="1">
      <alignment horizontal="center" vertical="center" wrapText="1"/>
    </xf>
    <xf numFmtId="0" fontId="72" fillId="0" borderId="0" xfId="1" applyFont="1" applyAlignment="1">
      <alignment vertical="center" wrapText="1"/>
    </xf>
    <xf numFmtId="0" fontId="68" fillId="0" borderId="0" xfId="0" applyFont="1" applyAlignment="1">
      <alignment horizontal="left" vertical="center" wrapText="1"/>
    </xf>
    <xf numFmtId="0" fontId="72" fillId="0" borderId="0" xfId="1" applyFont="1" applyAlignment="1">
      <alignment vertical="center"/>
    </xf>
    <xf numFmtId="0" fontId="71" fillId="0" borderId="0" xfId="0" applyFont="1" applyAlignment="1">
      <alignment vertical="center"/>
    </xf>
    <xf numFmtId="0" fontId="73" fillId="0" borderId="0" xfId="0" applyFont="1" applyAlignment="1">
      <alignment vertical="center" wrapText="1"/>
    </xf>
    <xf numFmtId="0" fontId="71" fillId="0" borderId="0" xfId="0" applyFont="1" applyAlignment="1">
      <alignment horizontal="left" vertical="center"/>
    </xf>
    <xf numFmtId="165" fontId="0" fillId="0" borderId="0" xfId="0" applyNumberFormat="1" applyAlignment="1">
      <alignment vertical="center"/>
    </xf>
    <xf numFmtId="165" fontId="27" fillId="0" borderId="0" xfId="0" applyNumberFormat="1" applyFont="1" applyAlignment="1">
      <alignment vertical="center"/>
    </xf>
    <xf numFmtId="0" fontId="53" fillId="0" borderId="0" xfId="1" applyAlignment="1">
      <alignment horizontal="left" vertical="center" wrapText="1"/>
    </xf>
    <xf numFmtId="165" fontId="60" fillId="3" borderId="0" xfId="0" applyNumberFormat="1" applyFont="1" applyFill="1" applyAlignment="1">
      <alignment horizontal="center" vertical="center"/>
    </xf>
    <xf numFmtId="14" fontId="14" fillId="5" borderId="3" xfId="0" applyNumberFormat="1" applyFont="1" applyFill="1" applyBorder="1" applyAlignment="1">
      <alignment horizontal="center" vertical="center" wrapText="1"/>
    </xf>
    <xf numFmtId="14" fontId="56" fillId="0" borderId="0" xfId="0" applyNumberFormat="1" applyFont="1" applyAlignment="1">
      <alignment horizontal="left" vertical="center"/>
    </xf>
    <xf numFmtId="14" fontId="56" fillId="0" borderId="0" xfId="0" applyNumberFormat="1" applyFont="1" applyAlignment="1">
      <alignment horizontal="left" vertical="center" wrapText="1"/>
    </xf>
    <xf numFmtId="0" fontId="3" fillId="0" borderId="0" xfId="0" applyFont="1" applyAlignment="1">
      <alignment vertical="center"/>
    </xf>
    <xf numFmtId="0" fontId="67" fillId="5" borderId="3" xfId="0" applyFont="1" applyFill="1" applyBorder="1" applyAlignment="1">
      <alignment horizontal="center" vertical="center" wrapText="1"/>
    </xf>
    <xf numFmtId="165" fontId="6" fillId="5" borderId="0" xfId="0" quotePrefix="1" applyNumberFormat="1" applyFont="1" applyFill="1" applyAlignment="1">
      <alignment horizontal="center" vertical="center"/>
    </xf>
    <xf numFmtId="165" fontId="6" fillId="5" borderId="0" xfId="0" applyNumberFormat="1" applyFont="1" applyFill="1" applyAlignment="1">
      <alignment horizontal="center" vertical="center"/>
    </xf>
    <xf numFmtId="165" fontId="0" fillId="3" borderId="0" xfId="0" applyNumberFormat="1" applyFill="1" applyAlignment="1">
      <alignment horizontal="center" vertical="center"/>
    </xf>
    <xf numFmtId="165" fontId="46" fillId="5" borderId="0" xfId="0" applyNumberFormat="1" applyFont="1" applyFill="1" applyAlignment="1">
      <alignment horizontal="center" vertical="center"/>
    </xf>
    <xf numFmtId="0" fontId="74" fillId="0" borderId="0" xfId="0" applyFont="1" applyAlignment="1">
      <alignment horizontal="center" vertical="center"/>
    </xf>
    <xf numFmtId="0" fontId="74" fillId="0" borderId="0" xfId="0" applyFont="1" applyAlignment="1">
      <alignment horizontal="left" vertical="center"/>
    </xf>
    <xf numFmtId="0" fontId="74" fillId="0" borderId="0" xfId="0" applyFont="1" applyAlignment="1">
      <alignment horizontal="left" vertical="center" wrapText="1"/>
    </xf>
    <xf numFmtId="0" fontId="75" fillId="0" borderId="0" xfId="1" applyFont="1" applyAlignment="1">
      <alignment horizontal="left" vertical="center" wrapText="1"/>
    </xf>
    <xf numFmtId="14" fontId="74" fillId="0" borderId="0" xfId="0" applyNumberFormat="1" applyFont="1" applyAlignment="1">
      <alignment horizontal="left" vertical="center"/>
    </xf>
    <xf numFmtId="0" fontId="67" fillId="0" borderId="0" xfId="0" applyFont="1" applyAlignment="1">
      <alignment horizontal="center" vertical="center"/>
    </xf>
    <xf numFmtId="0" fontId="76" fillId="0" borderId="0" xfId="0" applyFont="1" applyAlignment="1">
      <alignment horizontal="center" vertical="center" wrapText="1"/>
    </xf>
    <xf numFmtId="0" fontId="77" fillId="0" borderId="1" xfId="0" applyFont="1" applyBorder="1" applyAlignment="1">
      <alignment horizontal="center" vertical="center" wrapText="1"/>
    </xf>
    <xf numFmtId="0" fontId="77" fillId="0" borderId="2" xfId="0" applyFont="1" applyBorder="1" applyAlignment="1">
      <alignment horizontal="center" vertical="center" wrapText="1"/>
    </xf>
    <xf numFmtId="0" fontId="77" fillId="0" borderId="0" xfId="0" applyFont="1" applyAlignment="1">
      <alignment vertical="center"/>
    </xf>
    <xf numFmtId="0" fontId="78" fillId="7" borderId="0" xfId="0" applyFont="1" applyFill="1" applyAlignment="1">
      <alignment horizontal="center" vertical="center"/>
    </xf>
    <xf numFmtId="0" fontId="78" fillId="0" borderId="0" xfId="0" applyFont="1" applyAlignment="1">
      <alignment horizontal="center" vertical="center"/>
    </xf>
    <xf numFmtId="0" fontId="79" fillId="0" borderId="0" xfId="0" applyFont="1" applyAlignment="1">
      <alignment vertical="center"/>
    </xf>
    <xf numFmtId="0" fontId="80" fillId="0" borderId="0" xfId="0" applyFont="1" applyAlignment="1">
      <alignment vertical="center"/>
    </xf>
    <xf numFmtId="0" fontId="81" fillId="0" borderId="0" xfId="0" applyFont="1" applyAlignment="1">
      <alignment vertical="center"/>
    </xf>
    <xf numFmtId="0" fontId="82" fillId="0" borderId="0" xfId="0" applyFont="1" applyAlignment="1">
      <alignment vertical="center"/>
    </xf>
    <xf numFmtId="0" fontId="83" fillId="0" borderId="0" xfId="0" applyFont="1" applyAlignment="1">
      <alignment vertical="center"/>
    </xf>
    <xf numFmtId="0" fontId="84" fillId="0" borderId="0" xfId="0" applyFont="1" applyAlignment="1">
      <alignment vertical="center"/>
    </xf>
    <xf numFmtId="0" fontId="84" fillId="0" borderId="0" xfId="0" applyFont="1" applyAlignment="1">
      <alignment horizontal="center" vertical="center"/>
    </xf>
    <xf numFmtId="165" fontId="46" fillId="5" borderId="0" xfId="0" quotePrefix="1" applyNumberFormat="1" applyFont="1" applyFill="1" applyAlignment="1">
      <alignment horizontal="center" vertical="center"/>
    </xf>
    <xf numFmtId="165" fontId="85" fillId="5" borderId="0" xfId="0" quotePrefix="1" applyNumberFormat="1" applyFont="1" applyFill="1" applyAlignment="1">
      <alignment horizontal="center" vertical="center"/>
    </xf>
    <xf numFmtId="165" fontId="27" fillId="0" borderId="0" xfId="0" applyNumberFormat="1" applyFont="1" applyAlignment="1">
      <alignment horizontal="right" vertical="center"/>
    </xf>
    <xf numFmtId="14" fontId="3" fillId="0" borderId="0" xfId="0" applyNumberFormat="1" applyFont="1"/>
    <xf numFmtId="0" fontId="67" fillId="0" borderId="0" xfId="0" applyFont="1" applyAlignment="1">
      <alignment horizontal="left" vertical="center" wrapText="1"/>
    </xf>
    <xf numFmtId="14" fontId="81" fillId="0" borderId="0" xfId="0" applyNumberFormat="1" applyFont="1"/>
    <xf numFmtId="0" fontId="69" fillId="0" borderId="0" xfId="0" applyFont="1" applyAlignment="1">
      <alignment horizontal="left" vertical="center" wrapText="1"/>
    </xf>
    <xf numFmtId="165" fontId="27" fillId="0" borderId="0" xfId="0" applyNumberFormat="1" applyFont="1" applyAlignment="1">
      <alignment horizontal="center" vertical="center"/>
    </xf>
    <xf numFmtId="0" fontId="19" fillId="14" borderId="0" xfId="0" applyFont="1" applyFill="1" applyAlignment="1">
      <alignment horizontal="center" vertical="center"/>
    </xf>
  </cellXfs>
  <cellStyles count="2">
    <cellStyle name="Hyperlink" xfId="1" xr:uid="{00000000-000B-0000-0000-000008000000}"/>
    <cellStyle name="Normal" xfId="0" builtinId="0"/>
  </cellStyles>
  <dxfs count="32">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colors>
    <mruColors>
      <color rgb="FFFFFF00"/>
      <color rgb="FFF5CD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ocumenttasks/documenttask1.xml><?xml version="1.0" encoding="utf-8"?>
<Tasks xmlns="http://schemas.microsoft.com/office/tasks/2019/documenttasks">
  <Task id="{D504792B-B644-4104-A9B9-BD065BD4CB17}">
    <Anchor>
      <Comment id="{74AA9A73-C1F3-46E1-BB90-47DB0ED6A758}"/>
    </Anchor>
    <History>
      <Event time="2026-01-28T02:21:00.35" id="{4E53E88D-9A17-4947-B1FA-9955B70F2B6F}">
        <Attribution userId="S::nam.nguyen@genestory.ai::54486a2e-6bf4-442e-bd64-0e1400235691" userName="Ms. Nguyễn Ngọc Nam" userProvider="AD"/>
        <Anchor>
          <Comment id="{74AA9A73-C1F3-46E1-BB90-47DB0ED6A758}"/>
        </Anchor>
        <Create/>
      </Event>
      <Event time="2026-01-28T02:21:00.35" id="{D2552D3F-4C54-480B-8DC2-8B7A8EF325D5}">
        <Attribution userId="S::nam.nguyen@genestory.ai::54486a2e-6bf4-442e-bd64-0e1400235691" userName="Ms. Nguyễn Ngọc Nam" userProvider="AD"/>
        <Anchor>
          <Comment id="{74AA9A73-C1F3-46E1-BB90-47DB0ED6A758}"/>
        </Anchor>
        <Assign userId="S::phuong.nguyenthi@genestory.ai::d37a5f26-20b9-447f-b463-746a78e7cd82" userName="Nguyễn Thị Phương" userProvider="AD"/>
      </Event>
      <Event time="2026-01-28T02:21:00.35" id="{6983C3E8-F3C7-43C7-8C85-8B395522FE05}">
        <Attribution userId="S::nam.nguyen@genestory.ai::54486a2e-6bf4-442e-bd64-0e1400235691" userName="Ms. Nguyễn Ngọc Nam" userProvider="AD"/>
        <Anchor>
          <Comment id="{74AA9A73-C1F3-46E1-BB90-47DB0ED6A758}"/>
        </Anchor>
        <SetTitle title="@Nguyễn Thị Phương"/>
      </Event>
    </History>
  </Task>
  <Task id="{FA0AE757-4E80-4833-8D46-00F845C379CB}">
    <Anchor>
      <Comment id="{5D93EE67-F337-4813-8477-37BA1F83EF8C}"/>
    </Anchor>
    <History>
      <Event time="2026-04-09T03:58:51.04" id="{13040AB9-611E-4FDC-9564-1D43ACA60598}">
        <Attribution userId="S::nam.nguyen@genestory.ai::54486a2e-6bf4-442e-bd64-0e1400235691" userName="Ms. Nguyễn Ngọc Nam" userProvider="AD"/>
        <Anchor>
          <Comment id="{5461F7CF-77F3-473B-9BDA-54CDD3876445}"/>
        </Anchor>
        <Create/>
      </Event>
      <Event time="2026-04-09T03:58:51.04" id="{8F61B455-74F7-4229-A810-EE76C88E40FB}">
        <Attribution userId="S::nam.nguyen@genestory.ai::54486a2e-6bf4-442e-bd64-0e1400235691" userName="Ms. Nguyễn Ngọc Nam" userProvider="AD"/>
        <Anchor>
          <Comment id="{5461F7CF-77F3-473B-9BDA-54CDD3876445}"/>
        </Anchor>
        <Assign userId="S::phuong.nguyenthi@genestory.ai::d37a5f26-20b9-447f-b463-746a78e7cd82" userName="Nguyễn Thị Phương" userProvider="AD"/>
      </Event>
      <Event time="2026-04-09T03:58:51.04" id="{1CB758F4-CA5F-4CF6-9C5B-27AC2557C882}">
        <Attribution userId="S::nam.nguyen@genestory.ai::54486a2e-6bf4-442e-bd64-0e1400235691" userName="Ms. Nguyễn Ngọc Nam" userProvider="AD"/>
        <Anchor>
          <Comment id="{5461F7CF-77F3-473B-9BDA-54CDD3876445}"/>
        </Anchor>
        <SetTitle title="@Nguyễn Thị Phương"/>
      </Event>
    </History>
  </Task>
  <Task id="{8743EFE9-2CEB-4D99-8830-9FFC828B7E67}">
    <Anchor>
      <Comment id="{6E0C7E67-2473-4E47-90D5-CCFCFEC82879}"/>
    </Anchor>
    <History>
      <Event time="2026-01-26T15:07:01.19" id="{68004AE2-96CF-4242-B2B4-E6FC15120550}">
        <Attribution userId="S::nam.nguyen@genestory.ai::54486a2e-6bf4-442e-bd64-0e1400235691" userName="Ms. Nguyễn Ngọc Nam" userProvider="AD"/>
        <Anchor>
          <Comment id="{6E0C7E67-2473-4E47-90D5-CCFCFEC82879}"/>
        </Anchor>
        <Create/>
      </Event>
      <Event time="2026-01-26T15:07:01.19" id="{DF2AE252-452D-4DE6-BF76-E3A0526BD39D}">
        <Attribution userId="S::nam.nguyen@genestory.ai::54486a2e-6bf4-442e-bd64-0e1400235691" userName="Ms. Nguyễn Ngọc Nam" userProvider="AD"/>
        <Anchor>
          <Comment id="{6E0C7E67-2473-4E47-90D5-CCFCFEC82879}"/>
        </Anchor>
        <Assign userId="S::phuong.nguyenthi@genestory.ai::d37a5f26-20b9-447f-b463-746a78e7cd82" userName="Nguyễn Thị Phương" userProvider="AD"/>
      </Event>
      <Event time="2026-01-26T15:07:01.19" id="{42F94916-2AC6-4372-8D78-5DF17C20208B}">
        <Attribution userId="S::nam.nguyen@genestory.ai::54486a2e-6bf4-442e-bd64-0e1400235691" userName="Ms. Nguyễn Ngọc Nam" userProvider="AD"/>
        <Anchor>
          <Comment id="{6E0C7E67-2473-4E47-90D5-CCFCFEC82879}"/>
        </Anchor>
        <SetTitle title="@Nguyễn Thị Phương @Nguyễn Kim Thủy"/>
      </Event>
    </History>
  </Task>
</Tasks>
</file>

<file path=xl/documenttasks/documenttask2.xml><?xml version="1.0" encoding="utf-8"?>
<Tasks xmlns="http://schemas.microsoft.com/office/tasks/2019/documenttasks">
  <Task id="{BF54027C-A230-4AE6-BAEE-BD6AF3389322}">
    <Anchor>
      <Comment id="{D2ECDD2D-B60F-4DC2-BDDD-07180A604FF2}"/>
    </Anchor>
    <History>
      <Event time="2026-02-04T04:44:00.26" id="{B2545AF2-BCE9-4A16-9DA8-B4C8F673AF97}">
        <Attribution userId="S::nam.nguyen@genestory.ai::54486a2e-6bf4-442e-bd64-0e1400235691" userName="Ms. Nguyễn Ngọc Nam" userProvider="AD"/>
        <Anchor>
          <Comment id="{D2ECDD2D-B60F-4DC2-BDDD-07180A604FF2}"/>
        </Anchor>
        <Create/>
      </Event>
      <Event time="2026-02-04T04:44:00.26" id="{E9F7B317-B99E-4242-AF09-E35AC599A9DE}">
        <Attribution userId="S::nam.nguyen@genestory.ai::54486a2e-6bf4-442e-bd64-0e1400235691" userName="Ms. Nguyễn Ngọc Nam" userProvider="AD"/>
        <Anchor>
          <Comment id="{D2ECDD2D-B60F-4DC2-BDDD-07180A604FF2}"/>
        </Anchor>
        <Assign userId="S::thuy.nguyen@genestory.ai::726f9192-1646-4094-a3fa-4d957ed19916" userName="Nguyễn Kim Thủy" userProvider="AD"/>
      </Event>
      <Event time="2026-02-04T04:44:00.26" id="{1CEDD99B-037E-4CAE-A92D-A1709493FD9B}">
        <Attribution userId="S::nam.nguyen@genestory.ai::54486a2e-6bf4-442e-bd64-0e1400235691" userName="Ms. Nguyễn Ngọc Nam" userProvider="AD"/>
        <Anchor>
          <Comment id="{D2ECDD2D-B60F-4DC2-BDDD-07180A604FF2}"/>
        </Anchor>
        <SetTitle title="75 mẫu chứ nhỉ @Nguyễn Kim Thủy"/>
      </Event>
      <Event time="2026-02-05T03:50:52.49" id="{D8964101-9A25-4DC3-B92F-F07724E3495F}">
        <Attribution userId="S::thuy.nguyen@genestory.ai::726f9192-1646-4094-a3fa-4d957ed19916" userName="Nguyễn Kim Thủy"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Ms. Nguyễn Ngọc Nam" id="{653CD9E6-950A-46DF-A9CD-362E466938BE}" userId="nam.nguyen@genestory.ai" providerId="PeoplePicker"/>
  <person displayName="Nguyễn Kim Thủy" id="{23FF556D-4D98-4332-9B7B-2E420C6025FE}" userId="thuy.nguyen@genestory.ai" providerId="PeoplePicker"/>
  <person displayName="Nguyễn Thị Phương" id="{2F88A32C-9264-4285-A5C1-05D733E7E195}" userId="phuong.nguyenthi@genestory.ai" providerId="PeoplePicker"/>
  <person displayName="Đào Thế Hùng" id="{B7A6DEEE-8A22-4476-8F85-5C50924C0546}" userId="S::hung.dao@genestory.ai::a13de5f6-613f-4e48-aa15-35b1427b8bc0" providerId="AD"/>
  <person displayName="Ms. Nguyễn Ngọc Nam" id="{2AE83BF5-4829-44F4-AAE9-5C6DA52F42E1}" userId="S::nam.nguyen@genestory.ai::54486a2e-6bf4-442e-bd64-0e1400235691" providerId="AD"/>
  <person displayName="Nguyễn Thị Phương" id="{44BA0EEF-3693-4B1E-92FD-729E65659155}" userId="S::phuong.nguyenthi@genestory.ai::d37a5f26-20b9-447f-b463-746a78e7cd8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 dT="2026-01-26T15:07:00.63" personId="{2AE83BF5-4829-44F4-AAE9-5C6DA52F42E1}" id="{6E0C7E67-2473-4E47-90D5-CCFCFEC82879}">
    <text xml:space="preserve">@Nguyễn Thị Phương @Nguyễn Kim Thủy </text>
    <mentions>
      <mention mentionpersonId="{2F88A32C-9264-4285-A5C1-05D733E7E195}" mentionId="{EDC474BB-87A0-43C7-B936-C5B85A9F7313}" startIndex="0" length="18"/>
      <mention mentionpersonId="{23FF556D-4D98-4332-9B7B-2E420C6025FE}" mentionId="{4FE0E904-F716-4826-BB0A-225023D8A219}" startIndex="19" length="16"/>
    </mentions>
  </threadedComment>
  <threadedComment ref="F4" dT="2026-01-28T02:20:58.95" personId="{2AE83BF5-4829-44F4-AAE9-5C6DA52F42E1}" id="{74AA9A73-C1F3-46E1-BB90-47DB0ED6A758}">
    <text xml:space="preserve">@Nguyễn Thị Phương </text>
    <mentions>
      <mention mentionpersonId="{2F88A32C-9264-4285-A5C1-05D733E7E195}" mentionId="{CC2FA9EF-3CB1-41F0-9295-A6F2DB8230F2}" startIndex="0" length="18"/>
    </mentions>
  </threadedComment>
  <threadedComment ref="D123" dT="2026-04-09T03:58:28.60" personId="{2AE83BF5-4829-44F4-AAE9-5C6DA52F42E1}" id="{5D93EE67-F337-4813-8477-37BA1F83EF8C}">
    <text>@phuong.nguyenthi@genestory.ai</text>
  </threadedComment>
  <threadedComment ref="D123" dT="2026-04-09T03:58:50.72" personId="{2AE83BF5-4829-44F4-AAE9-5C6DA52F42E1}" id="{5461F7CF-77F3-473B-9BDA-54CDD3876445}" parentId="{5D93EE67-F337-4813-8477-37BA1F83EF8C}">
    <text xml:space="preserve">@Nguyễn Thị Phương </text>
    <mentions>
      <mention mentionpersonId="{2F88A32C-9264-4285-A5C1-05D733E7E195}" mentionId="{86B639EE-9BA2-4711-921E-632D42D1AD69}" startIndex="0" length="18"/>
    </mentions>
  </threadedComment>
  <threadedComment ref="D123" dT="2026-04-09T04:14:35.90" personId="{44BA0EEF-3693-4B1E-92FD-729E65659155}" id="{A3B7EE7F-11AA-4CF0-B88A-B318B756B28C}" parentId="{5D93EE67-F337-4813-8477-37BA1F83EF8C}">
    <text>Em bổ sung rerun r ạ</text>
  </threadedComment>
  <threadedComment ref="D125" dT="2026-04-09T03:01:01.29" personId="{44BA0EEF-3693-4B1E-92FD-729E65659155}" id="{BC5F9141-4CB4-4128-BCCA-7F5A55AA8A72}">
    <text xml:space="preserve">@Ms. Nguyễn Ngọc Nam </text>
    <mentions>
      <mention mentionpersonId="{653CD9E6-950A-46DF-A9CD-362E466938BE}" mentionId="{C4E88729-8338-475B-B929-36E516DDC4CB}" startIndex="0" length="20"/>
    </mentions>
  </threadedComment>
  <threadedComment ref="B126" dT="2026-04-08T05:02:31.98" personId="{44BA0EEF-3693-4B1E-92FD-729E65659155}" id="{BD1D641A-9440-4632-892D-B4814535CE75}">
    <text xml:space="preserve">@Ms. Nguyễn Ngọc Nam </text>
    <mentions>
      <mention mentionpersonId="{653CD9E6-950A-46DF-A9CD-362E466938BE}" mentionId="{D9A6F2EF-C075-485C-A8B0-F8164393774E}" startIndex="0" length="20"/>
    </mentions>
  </threadedComment>
  <threadedComment ref="B127" dT="2026-04-08T09:34:50.21" personId="{44BA0EEF-3693-4B1E-92FD-729E65659155}" id="{762B69CA-110A-4B81-80AA-391E96870233}">
    <text xml:space="preserve">@Ms. Nguyễn Ngọc Nam </text>
    <mentions>
      <mention mentionpersonId="{653CD9E6-950A-46DF-A9CD-362E466938BE}" mentionId="{3F8DD526-7DCC-46FA-B5E9-C1FB52DAC51E}" startIndex="0" length="2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241" dT="2025-10-15T03:42:15.10" personId="{2AE83BF5-4829-44F4-AAE9-5C6DA52F42E1}" id="{03E2FBFC-8148-4ABD-A13E-5B95681AEF0D}">
    <text>tạm hoãn do vấn đề về LID (updated 15/10/2025) --&gt; nhận data mới ngày 17/10/2025</text>
  </threadedComment>
  <threadedComment ref="A242" dT="2025-10-15T03:42:40.06" personId="{2AE83BF5-4829-44F4-AAE9-5C6DA52F42E1}" id="{B4A19728-8C7F-4ABD-836E-5F7828C9F416}">
    <text>tạm hoãn do vấn đề về LID (updated 15/10/2025) --&gt; nhận data mới ngày 17/10/2025</text>
  </threadedComment>
  <threadedComment ref="A440" dT="2026-03-13T01:55:04.04" personId="{2AE83BF5-4829-44F4-AAE9-5C6DA52F42E1}" id="{A29BBC94-D3D3-4353-80CC-6FD91BC12618}">
    <text>Hoãn, lab chạy lại 1R
Lab update 1R tối ngày 13/3/2026</text>
  </threadedComment>
  <threadedComment ref="A441" dT="2026-03-13T09:28:47.27" personId="{B7A6DEEE-8A22-4476-8F85-5C50924C0546}" id="{9E0D97EE-DD47-4D53-A9CB-2668403FAE87}">
    <text>chạy bằng pipeline V2.1 260313</text>
  </threadedComment>
</ThreadedComments>
</file>

<file path=xl/threadedComments/threadedComment3.xml><?xml version="1.0" encoding="utf-8"?>
<ThreadedComments xmlns="http://schemas.microsoft.com/office/spreadsheetml/2018/threadedcomments" xmlns:x="http://schemas.openxmlformats.org/spreadsheetml/2006/main">
  <threadedComment ref="IR5" dT="2026-02-04T04:43:59.83" personId="{2AE83BF5-4829-44F4-AAE9-5C6DA52F42E1}" id="{D2ECDD2D-B60F-4DC2-BDDD-07180A604FF2}" done="1">
    <text xml:space="preserve">75 mẫu chứ nhỉ @Nguyễn Kim Thủy </text>
    <mentions>
      <mention mentionpersonId="{23FF556D-4D98-4332-9B7B-2E420C6025FE}" mentionId="{AAC47C6D-5DB0-4D57-906F-CC7879BB1698}" startIndex="15" length="16"/>
    </mentions>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genestory-my.sharepoint.com/:f:/g/personal/phuong_nguyenthi_genestory_ai/IgB-QK2e8y_GRbba06MqL7SLAV0rivmyXiwTl-C9gkS2YI4?e=CiT9oD" TargetMode="External"/><Relationship Id="rId21" Type="http://schemas.openxmlformats.org/officeDocument/2006/relationships/hyperlink" Target="../../../../../../:f:/g/personal/phuong_nguyenthi_genestory_ai/IgD3se227HZuQ4zeKlQB1MNMAXv1ZL68rmUpN8k1kFj_yJE?e=ZTV3T4" TargetMode="External"/><Relationship Id="rId42" Type="http://schemas.openxmlformats.org/officeDocument/2006/relationships/hyperlink" Target="https://genestory-my.sharepoint.com/:f:/g/personal/phuong_nguyenthi_genestory_ai/IgDPsKPP3GiJSp7UJr4KEgo-ASg_pS-Yhrli5_f1fNOk8cI?e=rEVgOH" TargetMode="External"/><Relationship Id="rId63" Type="http://schemas.openxmlformats.org/officeDocument/2006/relationships/hyperlink" Target="https://genestory-my.sharepoint.com/:f:/g/personal/phuong_nguyenthi_genestory_ai/IgBQvjS2GpCoTqM9ahvgt3SfAY3DyrbSg_YM0LBaSFEeq-s?e=RSBpGY" TargetMode="External"/><Relationship Id="rId84" Type="http://schemas.openxmlformats.org/officeDocument/2006/relationships/hyperlink" Target="https://genestory-my.sharepoint.com/:f:/g/personal/phuong_nguyenthi_genestory_ai/IgBClFD_IZZpTIn_SBpRi4O0AZk4tQoGvG2-EBJTtmUVAK4?e=2TalID" TargetMode="External"/><Relationship Id="rId16" Type="http://schemas.openxmlformats.org/officeDocument/2006/relationships/hyperlink" Target="../../../../../../:f:/g/personal/phuong_nguyenthi_genestory_ai/IgANK2vusqcoSJb_tnzlGB91AVOL5TSQOFbrz8LFKEmAzOw?e=hY0LpX" TargetMode="External"/><Relationship Id="rId107" Type="http://schemas.openxmlformats.org/officeDocument/2006/relationships/hyperlink" Target="https://genestory-my.sharepoint.com/:f:/g/personal/hung_dao_genestory_ai/IgBgHkgM-DavRaw8QnddPFxeAathf_YrwCQy8vZtkXBlnpg?e=I6DvvQ" TargetMode="External"/><Relationship Id="rId11" Type="http://schemas.openxmlformats.org/officeDocument/2006/relationships/hyperlink" Target="../../../../../../:f:/g/personal/phuong_nguyenthi_genestory_ai/IgA8j8tJqRcTQZeVhYUyLmvmAeneN0Zu0V3_e5E6_jEOX5g?e=eRFGhe" TargetMode="External"/><Relationship Id="rId32" Type="http://schemas.openxmlformats.org/officeDocument/2006/relationships/hyperlink" Target="https://genestory-my.sharepoint.com/:f:/g/personal/hung_dao_genestory_ai/IgDGZN_QR1_1Qq6NGDJpGzHYAURwGfRJ0R2xeXaMhVhQzA4?e=YOY5Jw" TargetMode="External"/><Relationship Id="rId37" Type="http://schemas.openxmlformats.org/officeDocument/2006/relationships/hyperlink" Target="https://genestory-my.sharepoint.com/:f:/g/personal/hung_dao_genestory_ai/IgDT2HtsWaiuRriKTA4OqqB-AcUIOM37NIFdvHtBmAzNrww?e=GuHMcB" TargetMode="External"/><Relationship Id="rId53" Type="http://schemas.openxmlformats.org/officeDocument/2006/relationships/hyperlink" Target="https://genestory-my.sharepoint.com/:f:/g/personal/hung_dao_genestory_ai/IgC6rjL7zBI4SrNml2fiQ9klAWrFFLV7D74NDvhVvQYqd0s?e=FO2S8l" TargetMode="External"/><Relationship Id="rId58" Type="http://schemas.openxmlformats.org/officeDocument/2006/relationships/hyperlink" Target="https://genestory-my.sharepoint.com/:f:/g/personal/phuong_nguyenthi_genestory_ai/IgDxMK_Cy9byRap9hKME_xNPAZ3hYsdvI_QuitBbKLkjv_M?e=LshxT9" TargetMode="External"/><Relationship Id="rId74" Type="http://schemas.openxmlformats.org/officeDocument/2006/relationships/hyperlink" Target="https://genestory-my.sharepoint.com/:f:/g/personal/phuong_nguyenthi_genestory_ai/IgBfi_hxAgJ4RrONgjcYOTybAUSz442jD48NQqInVzBHHk0?e=4E4VxO" TargetMode="External"/><Relationship Id="rId79" Type="http://schemas.openxmlformats.org/officeDocument/2006/relationships/hyperlink" Target="https://genestory-my.sharepoint.com/:f:/g/personal/phuong_nguyenthi_genestory_ai/IgAQ1NA0_Q7-Q5zc41F9ZAAXAUWGL_EnZE5ZXVHbxV9oagM?e=5lGLqm" TargetMode="External"/><Relationship Id="rId102" Type="http://schemas.openxmlformats.org/officeDocument/2006/relationships/hyperlink" Target="https://genestory-my.sharepoint.com/:f:/g/personal/phuong_nguyenthi_genestory_ai/IgAjh1_TEKUdR6NiHQ5yShndAS505YjSkbq6EoFtfTHF88g?e=Ihanz6" TargetMode="External"/><Relationship Id="rId123" Type="http://schemas.openxmlformats.org/officeDocument/2006/relationships/hyperlink" Target="https://genestory-my.sharepoint.com/:f:/g/personal/phuong_nguyenthi_genestory_ai/IgD18xH0_J2sRbvrgllfoQWDAREpaMnEgqqJvSetympGeB8?e=mK14hj" TargetMode="External"/><Relationship Id="rId128" Type="http://schemas.openxmlformats.org/officeDocument/2006/relationships/hyperlink" Target="https://genestory-my.sharepoint.com/:f:/g/personal/phuong_nguyenthi_genestory_ai/IgDLc5wasLvZT7YDRnStD0AKAaIyHXavZUmh_GRaizwADZA?e=g6kj5w" TargetMode="External"/><Relationship Id="rId5" Type="http://schemas.openxmlformats.org/officeDocument/2006/relationships/hyperlink" Target="../../../../../../:f:/g/personal/hung_dao_genestory_ai/IgDxQtWM1onbS7TM0AA6m7RRAX0QHl-Vy_ItZHa-4TsDrrY?e=IoM3Ei" TargetMode="External"/><Relationship Id="rId90" Type="http://schemas.openxmlformats.org/officeDocument/2006/relationships/hyperlink" Target="https://genestory-my.sharepoint.com/:f:/g/personal/hung_dao_genestory_ai/IgA8YN2C6YY5QJVbxTDoLuvfAR_Em05gpFMISaLgAOIx1V0?e=7uU13z" TargetMode="External"/><Relationship Id="rId95" Type="http://schemas.openxmlformats.org/officeDocument/2006/relationships/hyperlink" Target="https://genestory-my.sharepoint.com/:f:/g/personal/hung_dao_genestory_ai/IgAuvdKepNi0Rpu8K2xX2UqfAeTPDHkuWoBAPIGQ5fbu2jE?e=1PJHIP" TargetMode="External"/><Relationship Id="rId22" Type="http://schemas.openxmlformats.org/officeDocument/2006/relationships/hyperlink" Target="../../../../../../:f:/g/personal/phuong_nguyenthi_genestory_ai/IgALHe9HXyynR4yhdW9DISMRAWgzopZ14Xveuo9Fz-lCmJo?e=JvMjjK" TargetMode="External"/><Relationship Id="rId27" Type="http://schemas.openxmlformats.org/officeDocument/2006/relationships/hyperlink" Target="../../../../../../:f:/g/personal/hung_dao_genestory_ai/IgCTeY681bA9QYofx_FBYu0NAQj30AYAnfhHImvmPXiKZWM?e=PG33dF" TargetMode="External"/><Relationship Id="rId43" Type="http://schemas.openxmlformats.org/officeDocument/2006/relationships/hyperlink" Target="https://genestory-my.sharepoint.com/:f:/g/personal/hung_dao_genestory_ai/IgDJbp0Qj4ETQLEFtYn0yMbQAUuwg5Aqox1bDNFw3SFDmv8?e=cJgaBZ" TargetMode="External"/><Relationship Id="rId48" Type="http://schemas.openxmlformats.org/officeDocument/2006/relationships/hyperlink" Target="https://genestory-my.sharepoint.com/:f:/g/personal/hung_dao_genestory_ai/IgC-cvjIMBWES6ucCaMofLDXAUlS1bssBNPleVITsLMTGs0?e=ZyeTfb" TargetMode="External"/><Relationship Id="rId64" Type="http://schemas.openxmlformats.org/officeDocument/2006/relationships/hyperlink" Target="https://genestory-my.sharepoint.com/:f:/g/personal/hung_dao_genestory_ai/IgAkVjrEskZRS4Qi8FElkWhZAe5QiJRsr9jWkH2Ayko3MDM?e=1Ubdwx" TargetMode="External"/><Relationship Id="rId69" Type="http://schemas.openxmlformats.org/officeDocument/2006/relationships/hyperlink" Target="https://genestory-my.sharepoint.com/:f:/g/personal/hung_dao_genestory_ai/IgB678A2CnukTLg0Nt610m8dAfrEdgIbJTmfUbePl-4evZM?e=i8fgyD" TargetMode="External"/><Relationship Id="rId113" Type="http://schemas.openxmlformats.org/officeDocument/2006/relationships/hyperlink" Target="https://genestory-my.sharepoint.com/:f:/g/personal/phuong_nguyenthi_genestory_ai/IgDWlWsBCEO5SZFOmloSxWw2ASRQECDZrZBzruoBZDZhzzI?e=wJmApL" TargetMode="External"/><Relationship Id="rId118" Type="http://schemas.openxmlformats.org/officeDocument/2006/relationships/hyperlink" Target="https://genestory-my.sharepoint.com/:f:/g/personal/phuong_nguyenthi_genestory_ai/IgAWKmBzCEkFTqlAm21RNWW3AR_8_08WXJ2Kbq_uaUbymxw?e=uDIUg7" TargetMode="External"/><Relationship Id="rId134" Type="http://schemas.microsoft.com/office/2017/10/relationships/threadedComment" Target="../threadedComments/threadedComment1.xml"/><Relationship Id="rId80" Type="http://schemas.openxmlformats.org/officeDocument/2006/relationships/hyperlink" Target="https://genestory-my.sharepoint.com/:f:/g/personal/phuong_nguyenthi_genestory_ai/IgALCdVi3QVbQJwH9lTU6DMUAew5FR6ux0Wt2t0ENzVVlDY?e=a1NqUA" TargetMode="External"/><Relationship Id="rId85" Type="http://schemas.openxmlformats.org/officeDocument/2006/relationships/hyperlink" Target="https://genestory-my.sharepoint.com/:f:/g/personal/hung_dao_genestory_ai/IgAFSG89o7maQLcaK9a128P0ARYj-qGkYkMJwM_GHv3YGyU?e=nO6FRF" TargetMode="External"/><Relationship Id="rId12" Type="http://schemas.openxmlformats.org/officeDocument/2006/relationships/hyperlink" Target="../../../../../../:f:/g/personal/phuong_nguyenthi_genestory_ai/IgDxp7vh7CxsQZ85uf94PdryAX6_sVHGlpLXiZzBELOYLw0?e=bIWQ9K" TargetMode="External"/><Relationship Id="rId17" Type="http://schemas.openxmlformats.org/officeDocument/2006/relationships/hyperlink" Target="../../../../../../:f:/g/personal/phuong_nguyenthi_genestory_ai/IgCPgzUuJUKfT5QS4TTZwEnoAdbi428eVqKOOknx56LCktY?e=QBaDSJ" TargetMode="External"/><Relationship Id="rId33" Type="http://schemas.openxmlformats.org/officeDocument/2006/relationships/hyperlink" Target="https://genestory-my.sharepoint.com/:f:/g/personal/hung_dao_genestory_ai/IgB4ujuwNXJORoasMDpNf1WXAff46XrlqP47Z7SToYQl3LM?e=GaKnA6" TargetMode="External"/><Relationship Id="rId38" Type="http://schemas.openxmlformats.org/officeDocument/2006/relationships/hyperlink" Target="https://genestory-my.sharepoint.com/:f:/g/personal/hung_dao_genestory_ai/IgDR-h65xAl8TbuMpALln6uSAU2bHxj9RugZDr54aR8cykc?e=wb6Z7k" TargetMode="External"/><Relationship Id="rId59" Type="http://schemas.openxmlformats.org/officeDocument/2006/relationships/hyperlink" Target="https://genestory-my.sharepoint.com/:f:/g/personal/hung_dao_genestory_ai/IgBNIQ36728ES5K4yxqOlWsDAU9bQqWBXv79rRfY7eqPtKs?e=M6li9r" TargetMode="External"/><Relationship Id="rId103" Type="http://schemas.openxmlformats.org/officeDocument/2006/relationships/hyperlink" Target="https://genestory-my.sharepoint.com/:f:/g/personal/phuong_nguyenthi_genestory_ai/IgAIBTPanLm-T7T-OEJ7E1VlAcV6MhL-M7vV_0foRi4-r24?e=P6QStT" TargetMode="External"/><Relationship Id="rId108" Type="http://schemas.openxmlformats.org/officeDocument/2006/relationships/hyperlink" Target="https://genestory-my.sharepoint.com/:f:/g/personal/phuong_nguyenthi_genestory_ai/IgAt08_7-iZtQqiRMrd1phQSAblPjkG-fY6ORze_q4E3EGE?e=TbhfsK" TargetMode="External"/><Relationship Id="rId124" Type="http://schemas.openxmlformats.org/officeDocument/2006/relationships/hyperlink" Target="https://genestory-my.sharepoint.com/:f:/g/personal/phuong_nguyenthi_genestory_ai/IgBQf3FeblY1Rpr22DOFgZSzAYI8omYstyaCBsvyPxEp8Qc?e=lgde9W" TargetMode="External"/><Relationship Id="rId129" Type="http://schemas.openxmlformats.org/officeDocument/2006/relationships/hyperlink" Target="https://genestory-my.sharepoint.com/:f:/g/personal/hung_dao_genestory_ai/IgCeiaKy9cndTJI7GvB8ubUYAYPt5tiZ2MpEE0X9aRInuZE?e=Vpwl2I" TargetMode="External"/><Relationship Id="rId54" Type="http://schemas.openxmlformats.org/officeDocument/2006/relationships/hyperlink" Target="https://genestory-my.sharepoint.com/:f:/g/personal/phuong_nguyenthi_genestory_ai/IgCJgkYX6psNTpD7jm3vfwheATWBjixqlfW-0xnF3jOdzCE?e=fe83gs" TargetMode="External"/><Relationship Id="rId70" Type="http://schemas.openxmlformats.org/officeDocument/2006/relationships/hyperlink" Target="https://genestory-my.sharepoint.com/:f:/g/personal/hung_dao_genestory_ai/IgCV-pkVaWPrQIY2xT4oiBkxAdswWbDqgzf4KEyoj4CAUzA?e=X090pQ" TargetMode="External"/><Relationship Id="rId75" Type="http://schemas.openxmlformats.org/officeDocument/2006/relationships/hyperlink" Target="https://genestory-my.sharepoint.com/:f:/g/personal/hung_dao_genestory_ai/IgARZ6nvni1rRYSOleGgRefKAZz3pIJ1MeX6OohFY1zTp_c?e=wSl88u" TargetMode="External"/><Relationship Id="rId91" Type="http://schemas.openxmlformats.org/officeDocument/2006/relationships/hyperlink" Target="https://genestory-my.sharepoint.com/:f:/g/personal/phuong_nguyenthi_genestory_ai/IgCLnmNEnGP_Sq2GtLbB0y98AbfgShkiD4JixPhjqMbW2_c?e=a3fchw" TargetMode="External"/><Relationship Id="rId96" Type="http://schemas.openxmlformats.org/officeDocument/2006/relationships/hyperlink" Target="https://genestory-my.sharepoint.com/:f:/g/personal/hung_dao_genestory_ai/IgBFNFrzA0rWRrD5hH5tUrP7AcMmVhjJdFqsHlYzRQSzU9I?e=6xDzWo" TargetMode="External"/><Relationship Id="rId1" Type="http://schemas.openxmlformats.org/officeDocument/2006/relationships/hyperlink" Target="../../../../../../:f:/g/personal/phuong_nguyenthi_genestory_ai/IgBwnkAtwQwYRbiDT7o_qW5JAWZ_R3V3T_ygxZTdM9tG4jg?e=rlTGbB" TargetMode="External"/><Relationship Id="rId6" Type="http://schemas.openxmlformats.org/officeDocument/2006/relationships/hyperlink" Target="../../../../../../:f:/g/personal/hung_dao_genestory_ai/IgCz0icH7QikRp-FOi3SFXPxASJ3siaWsFfFvhuZzUrTCKE?e=ZRiBaA" TargetMode="External"/><Relationship Id="rId23" Type="http://schemas.openxmlformats.org/officeDocument/2006/relationships/hyperlink" Target="../../../../../../:f:/g/personal/phuong_nguyenthi_genestory_ai/IgD7aE1WlpTKR7v26nemDvt8ARpDufL1grdUfTd3ZZlNDNc?e=dvtbJM" TargetMode="External"/><Relationship Id="rId28" Type="http://schemas.openxmlformats.org/officeDocument/2006/relationships/hyperlink" Target="../../../../../../:f:/g/personal/phuong_nguyenthi_genestory_ai/IgANhy2UZv2XRo0qUAVPil0zAbuCd8Z2SnXxUpABHK9QWiQ?e=2tIEqX" TargetMode="External"/><Relationship Id="rId49" Type="http://schemas.openxmlformats.org/officeDocument/2006/relationships/hyperlink" Target="https://genestory-my.sharepoint.com/:f:/g/personal/phuong_nguyenthi_genestory_ai/IgBkzAg3Pct4SZGZgVa6EiVwAcZvfRJrYVUpLzfvrouqpho?e=Rohe93" TargetMode="External"/><Relationship Id="rId114" Type="http://schemas.openxmlformats.org/officeDocument/2006/relationships/hyperlink" Target="https://genestory-my.sharepoint.com/:f:/g/personal/phuong_nguyenthi_genestory_ai/IgAENAcwg2rtTY1_xDI5WjLBAapC2UVJlUVtnUku_qHdrsw?e=OjdghS" TargetMode="External"/><Relationship Id="rId119" Type="http://schemas.openxmlformats.org/officeDocument/2006/relationships/hyperlink" Target="https://genestory-my.sharepoint.com/:f:/g/personal/phuong_nguyenthi_genestory_ai/IgBInBjhhV4rQp5uhQtDrFzPAQ5G8ldyWlInuBDZLl2tpto?e=pJgJ30" TargetMode="External"/><Relationship Id="rId44" Type="http://schemas.openxmlformats.org/officeDocument/2006/relationships/hyperlink" Target="https://genestory-my.sharepoint.com/:f:/g/personal/hung_dao_genestory_ai/IgCeRp2QHUqITrdsLJdzirw_AQGV5xyqrvFoQu0yfmweNnY?e=eKAgq7" TargetMode="External"/><Relationship Id="rId60" Type="http://schemas.openxmlformats.org/officeDocument/2006/relationships/hyperlink" Target="https://genestory-my.sharepoint.com/:f:/g/personal/hung_dao_genestory_ai/IgBfCeRxTXQ5RJZB_zXlG8x1AU2njKS8MSaJM9iqB9RbuR4?e=EYxhhh" TargetMode="External"/><Relationship Id="rId65" Type="http://schemas.openxmlformats.org/officeDocument/2006/relationships/hyperlink" Target="https://genestory-my.sharepoint.com/:f:/g/personal/phuong_nguyenthi_genestory_ai/IgBIg8PnltlDTK53EW7qNaGIAdV1hSyfiARY-YpJ7opsQBA?e=o7HHU4" TargetMode="External"/><Relationship Id="rId81" Type="http://schemas.openxmlformats.org/officeDocument/2006/relationships/hyperlink" Target="https://genestory-my.sharepoint.com/:f:/g/personal/hung_dao_genestory_ai/IgA8OSanKqx6RaL-qd7riSsAAepJp5rzagrDw1nYrbRdNB0?e=VH9JxX" TargetMode="External"/><Relationship Id="rId86" Type="http://schemas.openxmlformats.org/officeDocument/2006/relationships/hyperlink" Target="https://genestory-my.sharepoint.com/:f:/g/personal/hung_dao_genestory_ai/IgAxFWGn24A3Rq74o4sVp7jBAUsexccOMfAYFoyArjm3hP8?e=dRgYak" TargetMode="External"/><Relationship Id="rId130" Type="http://schemas.openxmlformats.org/officeDocument/2006/relationships/hyperlink" Target="https://genestory-my.sharepoint.com/:f:/g/personal/phuong_nguyenthi_genestory_ai/IgCQUrak2O_8RYlVgMIjkwt5AYYwVKolHPj-PCtCObX8hgg?e=NqVtSx" TargetMode="External"/><Relationship Id="rId135" Type="http://schemas.microsoft.com/office/2019/04/relationships/documenttask" Target="../documenttasks/documenttask1.xml"/><Relationship Id="rId13" Type="http://schemas.openxmlformats.org/officeDocument/2006/relationships/hyperlink" Target="../../../../../../:f:/g/personal/phuong_nguyenthi_genestory_ai/IgC47Vb_eHjHTYHiEnW9ZQ-AAePTyQT8DvqChIIlL2tdMEU?e=IQr21N" TargetMode="External"/><Relationship Id="rId18" Type="http://schemas.openxmlformats.org/officeDocument/2006/relationships/hyperlink" Target="../../../../../../:f:/g/personal/phuong_nguyenthi_genestory_ai/IgD7MBJ_zOrBQIkmnMDBTZlTAWIBqofZg0xdnZylXsDTZ5E?e=G1Jq1e" TargetMode="External"/><Relationship Id="rId39" Type="http://schemas.openxmlformats.org/officeDocument/2006/relationships/hyperlink" Target="https://genestory-my.sharepoint.com/:f:/g/personal/hung_dao_genestory_ai/IgASD2Ebqf7eSZZDoSrpK1f1AVElfgbqMVDLyFmFzxTTFYQ?e=ElgRq3" TargetMode="External"/><Relationship Id="rId109" Type="http://schemas.openxmlformats.org/officeDocument/2006/relationships/hyperlink" Target="https://genestory-my.sharepoint.com/:f:/g/personal/phuong_nguyenthi_genestory_ai/IgC93syPWDyaT7JUsn9o_evHAUQRufwSoQ3qkSu6K1izjCU?e=Y9irqa" TargetMode="External"/><Relationship Id="rId34" Type="http://schemas.openxmlformats.org/officeDocument/2006/relationships/hyperlink" Target="https://genestory-my.sharepoint.com/:f:/g/personal/hung_dao_genestory_ai/IgCLDXQBjOIbRbJNXHEmfHMDARguWQvu8le_tRlY0GVHx88?e=tAoG7X" TargetMode="External"/><Relationship Id="rId50" Type="http://schemas.openxmlformats.org/officeDocument/2006/relationships/hyperlink" Target="https://genestory-my.sharepoint.com/:f:/g/personal/hung_dao_genestory_ai/IgBIJA-dmp43Q78iRoURm1jaATgw6qgBkNo7_vi7tOxFMlc?e=6xF0Sw" TargetMode="External"/><Relationship Id="rId55" Type="http://schemas.openxmlformats.org/officeDocument/2006/relationships/hyperlink" Target="https://genestory-my.sharepoint.com/:f:/g/personal/hung_dao_genestory_ai/IgCOIYQYRy_LRbov-3qlSj60AXuCGjNjufTvATtctXP6KTk?e=HkCuxU" TargetMode="External"/><Relationship Id="rId76" Type="http://schemas.openxmlformats.org/officeDocument/2006/relationships/hyperlink" Target="https://genestory-my.sharepoint.com/:f:/g/personal/phuong_nguyenthi_genestory_ai/IgBUnzZ811AlS5LIhTYheo7wAbsxOzOdHCIvxE-SVugbzF8?e=fC7u3k" TargetMode="External"/><Relationship Id="rId97" Type="http://schemas.openxmlformats.org/officeDocument/2006/relationships/hyperlink" Target="https://genestory-my.sharepoint.com/:f:/g/personal/phuong_nguyenthi_genestory_ai/IgA5DVmvJJL0SpQF0ZOFu_yGARjfJUYwzM7P576zsjl6SgM?e=UKWLaF" TargetMode="External"/><Relationship Id="rId104" Type="http://schemas.openxmlformats.org/officeDocument/2006/relationships/hyperlink" Target="https://genestory-my.sharepoint.com/:f:/g/personal/hung_dao_genestory_ai/IgBrppADGvHcRq5d-PEv24E_AQHPXtnpHBPxphdpeGLrPMw?e=y7Soys" TargetMode="External"/><Relationship Id="rId120" Type="http://schemas.openxmlformats.org/officeDocument/2006/relationships/hyperlink" Target="https://genestory-my.sharepoint.com/:f:/g/personal/phuong_nguyenthi_genestory_ai/IgDqg4_OaXGjRqZf5CX8O90IATGNv36gshQ920L-xMmy9hg?e=B5cfnZ" TargetMode="External"/><Relationship Id="rId125" Type="http://schemas.openxmlformats.org/officeDocument/2006/relationships/hyperlink" Target="https://genestory-my.sharepoint.com/:f:/g/personal/phuong_nguyenthi_genestory_ai/IgAfxHlqN5OrS5nMRXqbvzfHAcvnnQpuf44O-LdALS8B6iI?e=ivRP9P" TargetMode="External"/><Relationship Id="rId7" Type="http://schemas.openxmlformats.org/officeDocument/2006/relationships/hyperlink" Target="../../../../../../:f:/g/personal/hung_dao_genestory_ai/IgALzp83g6ruQLnRb2WdJNcFAT4LM4qDbrPNNIEYnefRDiQ?e=8ZckVd" TargetMode="External"/><Relationship Id="rId71" Type="http://schemas.openxmlformats.org/officeDocument/2006/relationships/hyperlink" Target="https://genestory-my.sharepoint.com/:f:/g/personal/hung_dao_genestory_ai/IgDRQOwsk68kSLlTOles1ZRsAQe94klUODGtWI0rJzIphQw?e=RiOmrJ" TargetMode="External"/><Relationship Id="rId92" Type="http://schemas.openxmlformats.org/officeDocument/2006/relationships/hyperlink" Target="https://genestory-my.sharepoint.com/:f:/g/personal/phuong_nguyenthi_genestory_ai/IgCoI2t2LOH7RaY35tdiZt-4AeKSJ9GDG-wpskPZmKfziIs?e=1jtpSK" TargetMode="External"/><Relationship Id="rId2" Type="http://schemas.openxmlformats.org/officeDocument/2006/relationships/hyperlink" Target="../../../../../../:f:/g/personal/phuong_nguyenthi_genestory_ai/IgBav3Z71MToRbE27qrlsHQZAeGzdtZk-K78bfDVNrjPYPs?e=Ul3wBl" TargetMode="External"/><Relationship Id="rId29" Type="http://schemas.openxmlformats.org/officeDocument/2006/relationships/hyperlink" Target="../../../../../../:f:/g/personal/hung_dao_genestory_ai/IgCFuRt_ocfkS53Wi_v-nkF8AaaCk3u_mVVpgoeuWF_NG50?e=I17yWH" TargetMode="External"/><Relationship Id="rId24" Type="http://schemas.openxmlformats.org/officeDocument/2006/relationships/hyperlink" Target="../../../../../../:f:/g/personal/phuong_nguyenthi_genestory_ai/IgBHhaurjKZdSr2dMN7GP3QNAYFnBN8X49IwFHqElDHgdJQ?e=Je4tDz" TargetMode="External"/><Relationship Id="rId40" Type="http://schemas.openxmlformats.org/officeDocument/2006/relationships/hyperlink" Target="https://genestory-my.sharepoint.com/:f:/g/personal/phuong_nguyenthi_genestory_ai/IgAbH0a9tGcIR4m6BSXcEj4cAQkenZVq7KFBb2VeWTLd8XI?e=PlHegh" TargetMode="External"/><Relationship Id="rId45" Type="http://schemas.openxmlformats.org/officeDocument/2006/relationships/hyperlink" Target="https://genestory-my.sharepoint.com/:f:/g/personal/phuong_nguyenthi_genestory_ai/IgBEqZ_rGwCERaCSCoAF1kZFAZ3G2_14mdOFEZBne0Z-Xic?e=QnwYog" TargetMode="External"/><Relationship Id="rId66" Type="http://schemas.openxmlformats.org/officeDocument/2006/relationships/hyperlink" Target="https://genestory-my.sharepoint.com/:f:/g/personal/hung_dao_genestory_ai/IgAaStb5nWa2QIhVUfHf1w-3AUollhIDRyP2LHJBePbZ2Q0?e=2rnMYq" TargetMode="External"/><Relationship Id="rId87" Type="http://schemas.openxmlformats.org/officeDocument/2006/relationships/hyperlink" Target="https://genestory-my.sharepoint.com/:f:/g/personal/hung_dao_genestory_ai/IgDSW-W9L0VJR7T7v_xPreXWAfxXz97C3zc16u3PunSmckk?e=fg8eT0" TargetMode="External"/><Relationship Id="rId110" Type="http://schemas.openxmlformats.org/officeDocument/2006/relationships/hyperlink" Target="https://genestory-my.sharepoint.com/:f:/g/personal/phuong_nguyenthi_genestory_ai/IgCVpH93OmsZTpTG0gq-9i1pASBEqE55C32s-Uyjv1AkHNM?e=e8M3Aj" TargetMode="External"/><Relationship Id="rId115" Type="http://schemas.openxmlformats.org/officeDocument/2006/relationships/hyperlink" Target="https://genestory-my.sharepoint.com/:f:/g/personal/phuong_nguyenthi_genestory_ai/IgDyt-L7T-G7T60LEd8_-ZDtAXkJQUiSxQMer3dg8BHMwJ0?e=ET2VbD" TargetMode="External"/><Relationship Id="rId131" Type="http://schemas.openxmlformats.org/officeDocument/2006/relationships/hyperlink" Target="https://genestory-my.sharepoint.com/:f:/g/personal/phuong_nguyenthi_genestory_ai/IgBuhYI9fGo2T5Acc-tpJg6zAb5NJZBIKw9jzKqvKzW-idA?e=dCKkIE" TargetMode="External"/><Relationship Id="rId61" Type="http://schemas.openxmlformats.org/officeDocument/2006/relationships/hyperlink" Target="https://genestory-my.sharepoint.com/:f:/g/personal/hung_dao_genestory_ai/IgAMaKuBrXwIQLy4PERppgQPAdUqvc-04FMInt-Nzt2jPso?e=hZCMSp" TargetMode="External"/><Relationship Id="rId82" Type="http://schemas.openxmlformats.org/officeDocument/2006/relationships/hyperlink" Target="https://genestory-my.sharepoint.com/:f:/g/personal/phuong_nguyenthi_genestory_ai/IgAClnWefIXeQLRzni_dnL1TAUyGkW8A02qj0HaPlLUkBjU?e=qvXBe8" TargetMode="External"/><Relationship Id="rId19" Type="http://schemas.openxmlformats.org/officeDocument/2006/relationships/hyperlink" Target="../../../../../../:f:/g/personal/phuong_nguyenthi_genestory_ai/IgDQM4cr6kFHTqIxSw9I6e5ZAVdVUxyZtc7VuZZjCzT17Gw?e=cfsiU3" TargetMode="External"/><Relationship Id="rId14" Type="http://schemas.openxmlformats.org/officeDocument/2006/relationships/hyperlink" Target="../../../../../../:f:/g/personal/phuong_nguyenthi_genestory_ai/IgCorahjaZUaRrsW9dtvzeEfAaFKFbX_OjymBfpH9fO-tMY?e=BC5LCi" TargetMode="External"/><Relationship Id="rId30" Type="http://schemas.openxmlformats.org/officeDocument/2006/relationships/hyperlink" Target="https://genestory-my.sharepoint.com/:f:/g/personal/hung_dao_genestory_ai/IgCsscv_-XydTaMyjVY4ypbUAftK__rKXEiAKNgejsZ_EEk?e=R7iixw" TargetMode="External"/><Relationship Id="rId35" Type="http://schemas.openxmlformats.org/officeDocument/2006/relationships/hyperlink" Target="https://genestory-my.sharepoint.com/:f:/g/personal/hung_dao_genestory_ai/IgC9UwbZxX2ZQI5-l78PT_BUAUbLbtjKFjCdYdJh1JlJxU0?e=w95jUu" TargetMode="External"/><Relationship Id="rId56" Type="http://schemas.openxmlformats.org/officeDocument/2006/relationships/hyperlink" Target="https://genestory-my.sharepoint.com/:f:/g/personal/hung_dao_genestory_ai/IgDOa6TZJ3zUSaKULDgTN862AWaIhHyfvFjuC3k4EISb-U4?e=mARFIq" TargetMode="External"/><Relationship Id="rId77" Type="http://schemas.openxmlformats.org/officeDocument/2006/relationships/hyperlink" Target="https://genestory-my.sharepoint.com/:f:/g/personal/hung_dao_genestory_ai/IgDHPaGlStEuSIsdFvXxKUnJASJ5HizZpKfJAAoSettECn8?e=JPOmIc" TargetMode="External"/><Relationship Id="rId100" Type="http://schemas.openxmlformats.org/officeDocument/2006/relationships/hyperlink" Target="https://genestory-my.sharepoint.com/:f:/g/personal/hung_dao_genestory_ai/IgC4Ni7FRVT-SLRKN-O45uKgAbIRGcQjI9hB174K35Tw5nI?e=GJXGTG" TargetMode="External"/><Relationship Id="rId105" Type="http://schemas.openxmlformats.org/officeDocument/2006/relationships/hyperlink" Target="https://genestory-my.sharepoint.com/:f:/g/personal/phuong_nguyenthi_genestory_ai/IgCa_TK47A6oS41gL2iJavP8AYS1FSAxSRhBYGUzIIDqVPY?e=lS7KTv" TargetMode="External"/><Relationship Id="rId126" Type="http://schemas.openxmlformats.org/officeDocument/2006/relationships/hyperlink" Target="https://genestory-my.sharepoint.com/:f:/g/personal/phuong_nguyenthi_genestory_ai/IgAWFWBXpcTZQ733Jfo6ApPsAX9y2qWC6KRuzE_LoRJ5E9k?e=3Gjt0T" TargetMode="External"/><Relationship Id="rId8" Type="http://schemas.openxmlformats.org/officeDocument/2006/relationships/hyperlink" Target="../../../../../../:f:/g/personal/phuong_nguyenthi_genestory_ai/IgAYbHv55BzySLGryWVorJvdAQYQAcVYA3JKoZfJbRElxjU?e=DKGMQi" TargetMode="External"/><Relationship Id="rId51" Type="http://schemas.openxmlformats.org/officeDocument/2006/relationships/hyperlink" Target="https://genestory-my.sharepoint.com/:f:/g/personal/phuong_nguyenthi_genestory_ai/IgBkwC2mCVkwSrkjW0mIjCEwAfYirpgvg1v6W1ODerPjwX0?e=e1Iqzq" TargetMode="External"/><Relationship Id="rId72" Type="http://schemas.openxmlformats.org/officeDocument/2006/relationships/hyperlink" Target="https://genestory-my.sharepoint.com/:f:/g/personal/phuong_nguyenthi_genestory_ai/IgDh_5dmdsuFS4DHRDzyj_4KAZeY51RD8Mq9nE_2QSra6B0?e=B96EtA" TargetMode="External"/><Relationship Id="rId93" Type="http://schemas.openxmlformats.org/officeDocument/2006/relationships/hyperlink" Target="https://genestory-my.sharepoint.com/:f:/g/personal/phuong_nguyenthi_genestory_ai/IgB5ffakq6g0Q4ztTkFL3vrhASoIVFMuDCKsRyvNnSUVP2Q?e=EDo3TU" TargetMode="External"/><Relationship Id="rId98" Type="http://schemas.openxmlformats.org/officeDocument/2006/relationships/hyperlink" Target="https://genestory-my.sharepoint.com/:f:/g/personal/phuong_nguyenthi_genestory_ai/IgBN7Znm_3z2TKJoASFhi7zMAUkl-L0UT3cDS_H5ZNfGNVQ?e=Drnxi4" TargetMode="External"/><Relationship Id="rId121" Type="http://schemas.openxmlformats.org/officeDocument/2006/relationships/hyperlink" Target="https://genestory-my.sharepoint.com/:f:/g/personal/phuong_nguyenthi_genestory_ai/IgBd_Vnc3ec2TKPPRWha3_SRAZp2f8mZwmo7WjGjDSqS-nI?e=bfOieP" TargetMode="External"/><Relationship Id="rId3" Type="http://schemas.openxmlformats.org/officeDocument/2006/relationships/hyperlink" Target="../../../../../../:f:/g/personal/phuong_nguyenthi_genestory_ai/IgBzrPn0X03WQJ-8KKgixHhGAWGf1F6CYJXalWcbvLCa-pY?e=U06oUz" TargetMode="External"/><Relationship Id="rId25" Type="http://schemas.openxmlformats.org/officeDocument/2006/relationships/hyperlink" Target="../../../../../../:f:/g/personal/phuong_nguyenthi_genestory_ai/IgCkjChyo21DRJorbFquGMdtAYNeGMouQU_7m1FhcJvzGAo?e=O5M0qR" TargetMode="External"/><Relationship Id="rId46" Type="http://schemas.openxmlformats.org/officeDocument/2006/relationships/hyperlink" Target="https://genestory-my.sharepoint.com/:f:/g/personal/hung_dao_genestory_ai/IgA0iJ1nrv6bTK4v3FDxcNgtAYz3yNj1Ynn6Uy9eEgW7CtI?e=v16Ao8" TargetMode="External"/><Relationship Id="rId67" Type="http://schemas.openxmlformats.org/officeDocument/2006/relationships/hyperlink" Target="https://genestory-my.sharepoint.com/:f:/g/personal/phuong_nguyenthi_genestory_ai/IgDYZ5nGge2DSbjpT4xPmfDZAbHLgzB4Ijga0e8aoquIkqc?e=A7SsFR" TargetMode="External"/><Relationship Id="rId116" Type="http://schemas.openxmlformats.org/officeDocument/2006/relationships/hyperlink" Target="https://genestory-my.sharepoint.com/:f:/g/personal/phuong_nguyenthi_genestory_ai/IgB8cIvYq9viTZzgfzD_6NG7AVBZoV3APLuOrhleOq0hTE8?e=HeJX3T" TargetMode="External"/><Relationship Id="rId20" Type="http://schemas.openxmlformats.org/officeDocument/2006/relationships/hyperlink" Target="../../../../../../:f:/g/personal/phuong_nguyenthi_genestory_ai/IgCZWPhlo-ziQJvwBDS6kE95Aej45kEjzy9ekBTstjcPzZQ?e=0WVUUt" TargetMode="External"/><Relationship Id="rId41" Type="http://schemas.openxmlformats.org/officeDocument/2006/relationships/hyperlink" Target="https://genestory-my.sharepoint.com/:f:/g/personal/hung_dao_genestory_ai/IgAXVT9pQ6MMQ6aI4kBBp1X3ATTxnj2iLAzNQpuq7j2svRo?e=dBGSJV" TargetMode="External"/><Relationship Id="rId62" Type="http://schemas.openxmlformats.org/officeDocument/2006/relationships/hyperlink" Target="https://genestory-my.sharepoint.com/:f:/g/personal/hung_dao_genestory_ai/IgAq3Mp71LRJSJvK87RtdhYmAUytqa37-nTG1fLG1U2mduc?e=7QVSF9" TargetMode="External"/><Relationship Id="rId83" Type="http://schemas.openxmlformats.org/officeDocument/2006/relationships/hyperlink" Target="https://genestory-my.sharepoint.com/:f:/g/personal/hung_dao_genestory_ai/IgDHZARf-q5UTZw-nj8qc_I2AXmX8cZwqb1mDf9VrhA9SlY?e=THltxd" TargetMode="External"/><Relationship Id="rId88" Type="http://schemas.openxmlformats.org/officeDocument/2006/relationships/hyperlink" Target="https://genestory-my.sharepoint.com/:f:/g/personal/hung_dao_genestory_ai/IgAF9P7z7W8hSYN2MpreFv9rAXFPvITHAhnkxhb5zNTq1Zk?e=7Kh9Fj" TargetMode="External"/><Relationship Id="rId111" Type="http://schemas.openxmlformats.org/officeDocument/2006/relationships/hyperlink" Target="https://genestory-my.sharepoint.com/:f:/g/personal/phuong_nguyenthi_genestory_ai/IgDiEZ49_bsvSJGe1ELVgIBxASC8wEAxPSce_MUMF2uJ7us?e=T82s14" TargetMode="External"/><Relationship Id="rId132" Type="http://schemas.openxmlformats.org/officeDocument/2006/relationships/vmlDrawing" Target="../drawings/vmlDrawing1.vml"/><Relationship Id="rId15" Type="http://schemas.openxmlformats.org/officeDocument/2006/relationships/hyperlink" Target="../../../../../../:f:/g/personal/hung_dao_genestory_ai/IgD6Lunul4omR7PX1xelXRbcARLNuphU80Vc7ivaGL4RQhY?e=dOjKmj" TargetMode="External"/><Relationship Id="rId36" Type="http://schemas.openxmlformats.org/officeDocument/2006/relationships/hyperlink" Target="https://genestory-my.sharepoint.com/:f:/g/personal/hung_dao_genestory_ai/IgBl4uNp3aDBRKXk5T-UG5_iAU_Kxe_X2kLLbGjYmjpeHHE?e=UTSkpv" TargetMode="External"/><Relationship Id="rId57" Type="http://schemas.openxmlformats.org/officeDocument/2006/relationships/hyperlink" Target="https://genestory-my.sharepoint.com/:f:/g/personal/phuong_nguyenthi_genestory_ai/IgCF8KnBoPNkRK0OwvO-kF-gAWsfuMI0tyOGKICqDpIG8w8?e=ovh7gc" TargetMode="External"/><Relationship Id="rId106" Type="http://schemas.openxmlformats.org/officeDocument/2006/relationships/hyperlink" Target="https://genestory-my.sharepoint.com/:f:/g/personal/phuong_nguyenthi_genestory_ai/IgBHggzBhKmoSImZgiIP4EZvAd_FYo3UsBQMXYJu9-1G6fA?e=MgRomT" TargetMode="External"/><Relationship Id="rId127" Type="http://schemas.openxmlformats.org/officeDocument/2006/relationships/hyperlink" Target="https://genestory-my.sharepoint.com/:f:/g/personal/phuong_nguyenthi_genestory_ai/IgAzHKQV5p7CTZpGxJvfkqJXAZewUuUJ_wlQMdBuwE2L4D0?e=iPo0A7" TargetMode="External"/><Relationship Id="rId10" Type="http://schemas.openxmlformats.org/officeDocument/2006/relationships/hyperlink" Target="../../../../../../:f:/g/personal/phuong_nguyenthi_genestory_ai/IgA7zm-JpdDURIwkCCXXGwNjAQIEwj8F4W0AANv_OaacJgU?e=6QKYu7" TargetMode="External"/><Relationship Id="rId31" Type="http://schemas.openxmlformats.org/officeDocument/2006/relationships/hyperlink" Target="https://genestory-my.sharepoint.com/:f:/g/personal/phuong_nguyenthi_genestory_ai/IgCLzxyBXZFERL2omExrzpy0Aasaofsy1vMgJP6NxWiPHmE?e=P4gm0R" TargetMode="External"/><Relationship Id="rId52" Type="http://schemas.openxmlformats.org/officeDocument/2006/relationships/hyperlink" Target="https://genestory-my.sharepoint.com/:f:/g/personal/hung_dao_genestory_ai/IgDRIXavh1-JT5_VPntLaFgLAQ-tOL6__HzjwjooJPhTpz4?e=KKZfzg" TargetMode="External"/><Relationship Id="rId73" Type="http://schemas.openxmlformats.org/officeDocument/2006/relationships/hyperlink" Target="https://genestory-my.sharepoint.com/:f:/g/personal/phuong_nguyenthi_genestory_ai/IgDn6aMPQmqLR6preIuF6Aa3AVJ_Oxcs1IOsIJh93v0_FVE?e=aDchcu" TargetMode="External"/><Relationship Id="rId78" Type="http://schemas.openxmlformats.org/officeDocument/2006/relationships/hyperlink" Target="https://genestory-my.sharepoint.com/:f:/g/personal/hung_dao_genestory_ai/IgDiOkAUTPHyQYQak5vqC8nNAdkS1lr_QAdSZc6O3EJJ4hY?e=bFo7KC" TargetMode="External"/><Relationship Id="rId94" Type="http://schemas.openxmlformats.org/officeDocument/2006/relationships/hyperlink" Target="https://genestory-my.sharepoint.com/:f:/g/personal/phuong_nguyenthi_genestory_ai/IgBETZDW_T_TToJA5rzp9AgnAb9lIVvjobPTIV5-aS32XHk?e=6UWp8m" TargetMode="External"/><Relationship Id="rId99" Type="http://schemas.openxmlformats.org/officeDocument/2006/relationships/hyperlink" Target="https://genestory-my.sharepoint.com/:f:/g/personal/hung_dao_genestory_ai/IgCW9cNyI4seSZY1pF8FUMqyAYCo0bYzsAROJxYyTzCjOHE?e=0cUccg" TargetMode="External"/><Relationship Id="rId101" Type="http://schemas.openxmlformats.org/officeDocument/2006/relationships/hyperlink" Target="https://genestory-my.sharepoint.com/:f:/g/personal/phuong_nguyenthi_genestory_ai/IgBIZY0Dosi_QrvcGBAGA-WgAdGeItTAG9TCCVVTxZrdGUA?e=9KewUs" TargetMode="External"/><Relationship Id="rId122" Type="http://schemas.openxmlformats.org/officeDocument/2006/relationships/hyperlink" Target="https://genestory-my.sharepoint.com/:f:/g/personal/phuong_nguyenthi_genestory_ai/IgA3Gcd7X4nCTqX2ZUC3BE8NAZen_DqM60SErrLTHfq19dU?e=cScZ53" TargetMode="External"/><Relationship Id="rId4" Type="http://schemas.openxmlformats.org/officeDocument/2006/relationships/hyperlink" Target="../../../../../../:f:/g/personal/phuong_nguyenthi_genestory_ai/IgDaDyH7WbtIToO-wyPOEyUvAaV_kXPD3ZKPoNVVdloPDpU?e=jY1FKW" TargetMode="External"/><Relationship Id="rId9" Type="http://schemas.openxmlformats.org/officeDocument/2006/relationships/hyperlink" Target="../../../../../../:f:/g/personal/hung_dao_genestory_ai/IgCBov6g2KucTp4QJHWZ-vyjAdVaC04U43InxcydxxBEnik?e=5SILdT" TargetMode="External"/><Relationship Id="rId26" Type="http://schemas.openxmlformats.org/officeDocument/2006/relationships/hyperlink" Target="../../../../../../:f:/g/personal/phuong_nguyenthi_genestory_ai/IgArOTEAprFwT7qlQyRM4yMmAZLG0Y4qoceUAysDjvBU6rU?e=phDaoZ" TargetMode="External"/><Relationship Id="rId47" Type="http://schemas.openxmlformats.org/officeDocument/2006/relationships/hyperlink" Target="https://genestory-my.sharepoint.com/:f:/g/personal/phuong_nguyenthi_genestory_ai/IgB4JZbs7O4-T67b-1GXLyztASZKjOr45dhLwj9-Buc3Pmo?e=CAY5OS" TargetMode="External"/><Relationship Id="rId68" Type="http://schemas.openxmlformats.org/officeDocument/2006/relationships/hyperlink" Target="https://genestory-my.sharepoint.com/:f:/g/personal/hung_dao_genestory_ai/IgDuQ8OFlmPORK8eTLzseqDiAdxKrZG7hPFIv_2E8muk9ss?e=168g4T" TargetMode="External"/><Relationship Id="rId89" Type="http://schemas.openxmlformats.org/officeDocument/2006/relationships/hyperlink" Target="https://genestory-my.sharepoint.com/:f:/g/personal/phuong_nguyenthi_genestory_ai/IgCIxxBkhA3eR7f5AShWPQ7UAZGB2Dk_DfPhBhykvAvtm-A?e=5DnB4P" TargetMode="External"/><Relationship Id="rId112" Type="http://schemas.openxmlformats.org/officeDocument/2006/relationships/hyperlink" Target="https://genestory-my.sharepoint.com/:f:/g/personal/hung_dao_genestory_ai/IgAeYh7os3ySSaiQgHHP7AVNATZIhJjOpLHTrkDLbB5L3U4?e=6Jr2DL" TargetMode="External"/><Relationship Id="rId133"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9B83C-849D-4D14-8457-9131F61C28FA}">
  <sheetPr>
    <tabColor rgb="FFFFFF00"/>
  </sheetPr>
  <dimension ref="A1:G188"/>
  <sheetViews>
    <sheetView tabSelected="1" workbookViewId="0">
      <pane ySplit="1" topLeftCell="A25" activePane="bottomLeft" state="frozen"/>
      <selection pane="bottomLeft" activeCell="E131" sqref="E131"/>
    </sheetView>
  </sheetViews>
  <sheetFormatPr defaultColWidth="9.140625" defaultRowHeight="12.75"/>
  <cols>
    <col min="1" max="1" width="7.7109375" style="246" customWidth="1"/>
    <col min="2" max="2" width="23.7109375" style="248" customWidth="1"/>
    <col min="3" max="3" width="63.85546875" style="248" customWidth="1"/>
    <col min="4" max="4" width="14.85546875" style="248" customWidth="1"/>
    <col min="5" max="5" width="30.140625" style="245" customWidth="1"/>
    <col min="6" max="6" width="25.28515625" style="245" customWidth="1"/>
    <col min="7" max="7" width="14.85546875" style="266" customWidth="1"/>
    <col min="8" max="16384" width="9.140625" style="248"/>
  </cols>
  <sheetData>
    <row r="1" spans="1:7" s="86" customFormat="1" ht="13.5">
      <c r="A1" s="86" t="s">
        <v>0</v>
      </c>
      <c r="B1" s="86" t="s">
        <v>1</v>
      </c>
      <c r="C1" s="86" t="s">
        <v>2</v>
      </c>
      <c r="D1" s="86" t="s">
        <v>3</v>
      </c>
      <c r="E1" s="83" t="s">
        <v>4</v>
      </c>
      <c r="F1" s="83" t="s">
        <v>5</v>
      </c>
      <c r="G1" s="265" t="s">
        <v>6</v>
      </c>
    </row>
    <row r="2" spans="1:7" ht="108">
      <c r="A2" s="246">
        <v>1</v>
      </c>
      <c r="B2" s="247" t="s">
        <v>7</v>
      </c>
      <c r="C2" s="245" t="s">
        <v>8</v>
      </c>
      <c r="D2" s="248" t="s">
        <v>9</v>
      </c>
      <c r="E2" s="249" t="s">
        <v>10</v>
      </c>
    </row>
    <row r="3" spans="1:7" ht="94.5">
      <c r="A3" s="246">
        <v>2</v>
      </c>
      <c r="B3" s="248" t="s">
        <v>11</v>
      </c>
      <c r="C3" s="245" t="s">
        <v>12</v>
      </c>
      <c r="D3" s="248" t="s">
        <v>9</v>
      </c>
      <c r="E3" s="249" t="s">
        <v>13</v>
      </c>
      <c r="F3" s="245" t="s">
        <v>14</v>
      </c>
    </row>
    <row r="4" spans="1:7" ht="67.5">
      <c r="A4" s="246">
        <v>3</v>
      </c>
      <c r="B4" s="248" t="s">
        <v>15</v>
      </c>
      <c r="C4" s="245" t="s">
        <v>16</v>
      </c>
      <c r="D4" s="248" t="s">
        <v>9</v>
      </c>
      <c r="E4" s="250" t="s">
        <v>17</v>
      </c>
      <c r="F4" s="245" t="s">
        <v>18</v>
      </c>
    </row>
    <row r="5" spans="1:7" ht="53.25">
      <c r="A5" s="246">
        <v>4</v>
      </c>
      <c r="B5" s="248" t="s">
        <v>19</v>
      </c>
      <c r="C5" s="245" t="s">
        <v>20</v>
      </c>
      <c r="D5" s="248" t="s">
        <v>9</v>
      </c>
      <c r="E5" s="250" t="s">
        <v>21</v>
      </c>
    </row>
    <row r="6" spans="1:7" ht="67.5">
      <c r="A6" s="246">
        <v>5</v>
      </c>
      <c r="B6" s="248" t="s">
        <v>22</v>
      </c>
      <c r="C6" s="245" t="s">
        <v>23</v>
      </c>
      <c r="D6" s="248" t="s">
        <v>9</v>
      </c>
      <c r="E6" s="251" t="s">
        <v>24</v>
      </c>
    </row>
    <row r="7" spans="1:7" ht="229.5">
      <c r="A7" s="246">
        <v>6</v>
      </c>
      <c r="B7" s="248" t="s">
        <v>25</v>
      </c>
      <c r="C7" s="245" t="s">
        <v>26</v>
      </c>
      <c r="D7" s="248" t="s">
        <v>9</v>
      </c>
      <c r="E7" s="251" t="s">
        <v>27</v>
      </c>
    </row>
    <row r="8" spans="1:7" ht="67.5">
      <c r="A8" s="246">
        <v>7</v>
      </c>
      <c r="B8" s="248" t="s">
        <v>28</v>
      </c>
      <c r="C8" s="245" t="s">
        <v>29</v>
      </c>
      <c r="D8" s="248" t="s">
        <v>9</v>
      </c>
      <c r="E8" s="251" t="s">
        <v>30</v>
      </c>
    </row>
    <row r="9" spans="1:7" ht="108">
      <c r="A9" s="246">
        <v>8</v>
      </c>
      <c r="B9" s="245" t="s">
        <v>31</v>
      </c>
      <c r="C9" s="252" t="s">
        <v>32</v>
      </c>
      <c r="D9" s="248" t="s">
        <v>9</v>
      </c>
      <c r="E9" s="250" t="s">
        <v>33</v>
      </c>
    </row>
    <row r="10" spans="1:7" ht="148.5">
      <c r="A10" s="246">
        <v>9</v>
      </c>
      <c r="B10" s="248" t="s">
        <v>34</v>
      </c>
      <c r="C10" s="245" t="s">
        <v>35</v>
      </c>
      <c r="D10" s="248" t="s">
        <v>9</v>
      </c>
      <c r="E10" s="251" t="s">
        <v>36</v>
      </c>
    </row>
    <row r="11" spans="1:7" ht="216">
      <c r="A11" s="246">
        <v>10</v>
      </c>
      <c r="B11" s="248" t="s">
        <v>37</v>
      </c>
      <c r="C11" s="245" t="s">
        <v>38</v>
      </c>
      <c r="D11" s="248" t="s">
        <v>9</v>
      </c>
      <c r="E11" s="250" t="s">
        <v>39</v>
      </c>
    </row>
    <row r="12" spans="1:7" ht="53.25">
      <c r="A12" s="246">
        <v>11</v>
      </c>
      <c r="B12" s="248" t="s">
        <v>40</v>
      </c>
      <c r="C12" s="245" t="s">
        <v>41</v>
      </c>
      <c r="D12" s="248" t="s">
        <v>9</v>
      </c>
      <c r="E12" s="250" t="s">
        <v>42</v>
      </c>
    </row>
    <row r="13" spans="1:7" ht="67.5">
      <c r="A13" s="246">
        <v>12</v>
      </c>
      <c r="B13" s="248" t="s">
        <v>43</v>
      </c>
      <c r="C13" s="245" t="s">
        <v>44</v>
      </c>
      <c r="D13" s="248" t="s">
        <v>9</v>
      </c>
      <c r="E13" s="250" t="s">
        <v>45</v>
      </c>
    </row>
    <row r="14" spans="1:7" ht="53.25">
      <c r="A14" s="246">
        <v>13</v>
      </c>
      <c r="B14" s="185" t="s">
        <v>46</v>
      </c>
      <c r="C14" s="245" t="s">
        <v>47</v>
      </c>
      <c r="D14" s="248" t="s">
        <v>9</v>
      </c>
      <c r="E14" s="250" t="s">
        <v>48</v>
      </c>
    </row>
    <row r="15" spans="1:7" ht="53.25">
      <c r="A15" s="246">
        <v>14</v>
      </c>
      <c r="B15" s="248" t="s">
        <v>49</v>
      </c>
      <c r="C15" s="245" t="s">
        <v>50</v>
      </c>
      <c r="D15" s="248" t="s">
        <v>9</v>
      </c>
      <c r="E15" s="250" t="s">
        <v>51</v>
      </c>
    </row>
    <row r="16" spans="1:7" ht="40.5">
      <c r="A16" s="246">
        <v>15</v>
      </c>
      <c r="B16" s="248" t="s">
        <v>52</v>
      </c>
      <c r="C16" s="245" t="s">
        <v>53</v>
      </c>
      <c r="D16" s="248" t="s">
        <v>9</v>
      </c>
      <c r="E16" s="251" t="s">
        <v>54</v>
      </c>
    </row>
    <row r="17" spans="1:7" ht="95.25" customHeight="1">
      <c r="A17" s="246">
        <v>16</v>
      </c>
      <c r="B17" s="248" t="s">
        <v>55</v>
      </c>
      <c r="C17" s="245" t="s">
        <v>56</v>
      </c>
      <c r="D17" s="248" t="s">
        <v>9</v>
      </c>
      <c r="E17" s="250" t="s">
        <v>57</v>
      </c>
    </row>
    <row r="18" spans="1:7" ht="93" customHeight="1">
      <c r="A18" s="246">
        <v>17</v>
      </c>
      <c r="B18" s="248" t="s">
        <v>58</v>
      </c>
      <c r="C18" s="245" t="s">
        <v>59</v>
      </c>
      <c r="D18" s="248" t="s">
        <v>9</v>
      </c>
      <c r="E18" s="250" t="s">
        <v>60</v>
      </c>
    </row>
    <row r="19" spans="1:7" ht="94.5">
      <c r="A19" s="246">
        <v>18</v>
      </c>
      <c r="B19" s="248" t="s">
        <v>61</v>
      </c>
      <c r="C19" s="245" t="s">
        <v>62</v>
      </c>
      <c r="D19" s="248" t="s">
        <v>9</v>
      </c>
      <c r="E19" s="250" t="s">
        <v>63</v>
      </c>
    </row>
    <row r="20" spans="1:7" ht="53.25">
      <c r="A20" s="246">
        <v>19</v>
      </c>
      <c r="B20" s="248" t="s">
        <v>64</v>
      </c>
      <c r="C20" s="245" t="s">
        <v>65</v>
      </c>
      <c r="D20" s="248" t="s">
        <v>9</v>
      </c>
      <c r="E20" s="250" t="s">
        <v>66</v>
      </c>
    </row>
    <row r="21" spans="1:7" ht="148.5">
      <c r="A21" s="246">
        <v>20</v>
      </c>
      <c r="B21" s="248" t="s">
        <v>67</v>
      </c>
      <c r="C21" s="245" t="s">
        <v>68</v>
      </c>
      <c r="D21" s="248" t="s">
        <v>9</v>
      </c>
      <c r="E21" s="250" t="s">
        <v>69</v>
      </c>
    </row>
    <row r="22" spans="1:7" ht="120" customHeight="1">
      <c r="A22" s="246">
        <v>21</v>
      </c>
      <c r="B22" s="248" t="s">
        <v>70</v>
      </c>
      <c r="C22" s="245" t="s">
        <v>71</v>
      </c>
      <c r="D22" s="248" t="s">
        <v>9</v>
      </c>
      <c r="E22" s="250" t="s">
        <v>72</v>
      </c>
    </row>
    <row r="23" spans="1:7" ht="53.25">
      <c r="A23" s="246">
        <v>22</v>
      </c>
      <c r="B23" s="248" t="s">
        <v>73</v>
      </c>
      <c r="C23" s="245" t="s">
        <v>74</v>
      </c>
      <c r="D23" s="248" t="s">
        <v>9</v>
      </c>
      <c r="E23" s="250" t="s">
        <v>75</v>
      </c>
    </row>
    <row r="24" spans="1:7" ht="282.75">
      <c r="A24" s="246">
        <v>23</v>
      </c>
      <c r="B24" s="248" t="s">
        <v>76</v>
      </c>
      <c r="C24" s="245" t="s">
        <v>77</v>
      </c>
      <c r="D24" s="248" t="s">
        <v>9</v>
      </c>
      <c r="E24" s="253" t="s">
        <v>78</v>
      </c>
    </row>
    <row r="25" spans="1:7" s="245" customFormat="1" ht="13.5">
      <c r="A25" s="254">
        <v>24</v>
      </c>
      <c r="B25" s="245" t="s">
        <v>79</v>
      </c>
      <c r="C25" s="245" t="s">
        <v>80</v>
      </c>
      <c r="D25" s="245" t="s">
        <v>81</v>
      </c>
      <c r="E25" s="255" t="s">
        <v>82</v>
      </c>
      <c r="G25" s="267"/>
    </row>
    <row r="26" spans="1:7" ht="67.5">
      <c r="A26" s="246">
        <v>25</v>
      </c>
      <c r="B26" s="248" t="s">
        <v>83</v>
      </c>
      <c r="C26" s="252" t="s">
        <v>84</v>
      </c>
      <c r="D26" s="248" t="s">
        <v>9</v>
      </c>
      <c r="E26" s="253" t="s">
        <v>85</v>
      </c>
    </row>
    <row r="27" spans="1:7" ht="282.75" customHeight="1">
      <c r="A27" s="246">
        <v>26</v>
      </c>
      <c r="B27" s="248" t="s">
        <v>86</v>
      </c>
      <c r="C27" s="252" t="s">
        <v>87</v>
      </c>
      <c r="D27" s="248" t="s">
        <v>9</v>
      </c>
      <c r="E27" s="253" t="s">
        <v>88</v>
      </c>
    </row>
    <row r="28" spans="1:7" ht="67.5">
      <c r="A28" s="246">
        <v>27</v>
      </c>
      <c r="B28" s="248" t="s">
        <v>89</v>
      </c>
      <c r="C28" s="256" t="s">
        <v>90</v>
      </c>
      <c r="D28" s="248" t="s">
        <v>9</v>
      </c>
      <c r="E28" s="253" t="s">
        <v>91</v>
      </c>
    </row>
    <row r="29" spans="1:7" ht="135">
      <c r="A29" s="246">
        <v>28</v>
      </c>
      <c r="B29" s="248" t="s">
        <v>92</v>
      </c>
      <c r="C29" s="252" t="s">
        <v>93</v>
      </c>
      <c r="D29" s="248" t="s">
        <v>9</v>
      </c>
      <c r="E29" s="253" t="s">
        <v>94</v>
      </c>
    </row>
    <row r="30" spans="1:7" ht="247.5" customHeight="1">
      <c r="A30" s="246">
        <v>29</v>
      </c>
      <c r="B30" s="248" t="s">
        <v>95</v>
      </c>
      <c r="C30" s="245" t="s">
        <v>96</v>
      </c>
      <c r="D30" s="248" t="s">
        <v>9</v>
      </c>
      <c r="E30" s="257" t="s">
        <v>97</v>
      </c>
    </row>
    <row r="31" spans="1:7" ht="216">
      <c r="A31" s="246">
        <v>30</v>
      </c>
      <c r="B31" s="248" t="s">
        <v>98</v>
      </c>
      <c r="C31" s="245" t="s">
        <v>99</v>
      </c>
      <c r="D31" s="248" t="s">
        <v>9</v>
      </c>
      <c r="E31" s="257" t="s">
        <v>100</v>
      </c>
    </row>
    <row r="32" spans="1:7" ht="174.75">
      <c r="A32" s="246">
        <v>31</v>
      </c>
      <c r="B32" s="248" t="s">
        <v>101</v>
      </c>
      <c r="C32" s="245" t="s">
        <v>102</v>
      </c>
      <c r="D32" s="248" t="s">
        <v>81</v>
      </c>
      <c r="E32" s="253" t="s">
        <v>103</v>
      </c>
      <c r="F32" s="245" t="s">
        <v>104</v>
      </c>
    </row>
    <row r="33" spans="1:5" ht="161.25">
      <c r="A33" s="246">
        <v>32</v>
      </c>
      <c r="B33" s="248" t="s">
        <v>105</v>
      </c>
      <c r="C33" s="245" t="s">
        <v>106</v>
      </c>
      <c r="D33" s="248" t="s">
        <v>9</v>
      </c>
      <c r="E33" s="255" t="s">
        <v>107</v>
      </c>
    </row>
    <row r="34" spans="1:5" ht="135">
      <c r="A34" s="246">
        <v>33</v>
      </c>
      <c r="B34" s="248" t="s">
        <v>108</v>
      </c>
      <c r="C34" s="245" t="s">
        <v>109</v>
      </c>
      <c r="D34" s="248" t="s">
        <v>9</v>
      </c>
      <c r="E34" s="257" t="s">
        <v>110</v>
      </c>
    </row>
    <row r="35" spans="1:5" ht="202.5">
      <c r="A35" s="246">
        <v>34</v>
      </c>
      <c r="B35" s="248" t="s">
        <v>111</v>
      </c>
      <c r="C35" s="245" t="s">
        <v>112</v>
      </c>
      <c r="D35" s="248" t="s">
        <v>9</v>
      </c>
      <c r="E35" s="257" t="s">
        <v>113</v>
      </c>
    </row>
    <row r="36" spans="1:5" ht="256.5">
      <c r="A36" s="246">
        <v>35</v>
      </c>
      <c r="B36" s="248" t="s">
        <v>114</v>
      </c>
      <c r="C36" s="245" t="s">
        <v>115</v>
      </c>
      <c r="D36" s="248" t="s">
        <v>9</v>
      </c>
      <c r="E36" s="257" t="s">
        <v>116</v>
      </c>
    </row>
    <row r="37" spans="1:5" ht="174.75">
      <c r="A37" s="246">
        <v>36</v>
      </c>
      <c r="B37" s="248" t="s">
        <v>117</v>
      </c>
      <c r="C37" s="245" t="s">
        <v>118</v>
      </c>
      <c r="D37" s="248" t="s">
        <v>9</v>
      </c>
      <c r="E37" s="257" t="s">
        <v>119</v>
      </c>
    </row>
    <row r="38" spans="1:5" ht="202.5">
      <c r="A38" s="246">
        <v>37</v>
      </c>
      <c r="B38" s="248" t="s">
        <v>120</v>
      </c>
      <c r="C38" s="245" t="s">
        <v>121</v>
      </c>
      <c r="D38" s="248" t="s">
        <v>9</v>
      </c>
      <c r="E38" s="255" t="s">
        <v>122</v>
      </c>
    </row>
    <row r="39" spans="1:5" ht="202.5">
      <c r="A39" s="246">
        <v>38</v>
      </c>
      <c r="B39" s="248" t="s">
        <v>123</v>
      </c>
      <c r="C39" s="245" t="s">
        <v>124</v>
      </c>
      <c r="D39" s="248" t="s">
        <v>9</v>
      </c>
      <c r="E39" s="257" t="s">
        <v>125</v>
      </c>
    </row>
    <row r="40" spans="1:5" ht="81">
      <c r="A40" s="246">
        <v>39</v>
      </c>
      <c r="B40" s="248" t="s">
        <v>126</v>
      </c>
      <c r="C40" s="245" t="s">
        <v>127</v>
      </c>
      <c r="D40" s="248" t="s">
        <v>9</v>
      </c>
      <c r="E40" s="257" t="s">
        <v>128</v>
      </c>
    </row>
    <row r="41" spans="1:5" ht="108">
      <c r="A41" s="246">
        <v>40</v>
      </c>
      <c r="B41" s="248" t="s">
        <v>129</v>
      </c>
      <c r="C41" s="245" t="s">
        <v>130</v>
      </c>
      <c r="D41" s="248" t="s">
        <v>9</v>
      </c>
      <c r="E41" s="253" t="s">
        <v>131</v>
      </c>
    </row>
    <row r="42" spans="1:5" ht="161.25">
      <c r="A42" s="246">
        <v>41</v>
      </c>
      <c r="B42" s="248" t="s">
        <v>132</v>
      </c>
      <c r="C42" s="245" t="s">
        <v>133</v>
      </c>
      <c r="D42" s="248" t="s">
        <v>9</v>
      </c>
      <c r="E42" s="257" t="s">
        <v>134</v>
      </c>
    </row>
    <row r="43" spans="1:5" ht="121.5">
      <c r="A43" s="246">
        <v>42</v>
      </c>
      <c r="B43" s="248" t="s">
        <v>135</v>
      </c>
      <c r="C43" s="245" t="s">
        <v>136</v>
      </c>
      <c r="D43" s="248" t="s">
        <v>9</v>
      </c>
      <c r="E43" s="253" t="s">
        <v>137</v>
      </c>
    </row>
    <row r="44" spans="1:5" ht="161.25">
      <c r="A44" s="246">
        <v>43</v>
      </c>
      <c r="B44" s="248" t="s">
        <v>138</v>
      </c>
      <c r="C44" s="245" t="s">
        <v>139</v>
      </c>
      <c r="D44" s="248" t="s">
        <v>9</v>
      </c>
      <c r="E44" s="257" t="s">
        <v>140</v>
      </c>
    </row>
    <row r="45" spans="1:5" ht="148.5">
      <c r="A45" s="246">
        <v>44</v>
      </c>
      <c r="B45" s="248" t="s">
        <v>141</v>
      </c>
      <c r="C45" s="245" t="s">
        <v>142</v>
      </c>
      <c r="D45" s="248" t="s">
        <v>9</v>
      </c>
      <c r="E45" s="257" t="s">
        <v>143</v>
      </c>
    </row>
    <row r="46" spans="1:5" ht="174.75">
      <c r="A46" s="246">
        <v>45</v>
      </c>
      <c r="B46" s="248" t="s">
        <v>144</v>
      </c>
      <c r="C46" s="252" t="s">
        <v>145</v>
      </c>
      <c r="D46" s="248" t="s">
        <v>9</v>
      </c>
      <c r="E46" s="253" t="s">
        <v>146</v>
      </c>
    </row>
    <row r="47" spans="1:5" ht="189">
      <c r="A47" s="246">
        <v>46</v>
      </c>
      <c r="B47" s="248" t="s">
        <v>147</v>
      </c>
      <c r="C47" s="245" t="s">
        <v>148</v>
      </c>
      <c r="D47" s="248" t="s">
        <v>9</v>
      </c>
      <c r="E47" s="257" t="s">
        <v>149</v>
      </c>
    </row>
    <row r="48" spans="1:5" ht="216">
      <c r="A48" s="246">
        <v>47</v>
      </c>
      <c r="B48" s="248" t="s">
        <v>150</v>
      </c>
      <c r="C48" s="245" t="s">
        <v>151</v>
      </c>
      <c r="D48" s="248" t="s">
        <v>9</v>
      </c>
      <c r="E48" s="253" t="s">
        <v>152</v>
      </c>
    </row>
    <row r="49" spans="1:7" ht="229.5">
      <c r="A49" s="246">
        <v>48</v>
      </c>
      <c r="B49" s="248" t="s">
        <v>153</v>
      </c>
      <c r="C49" s="245" t="s">
        <v>154</v>
      </c>
      <c r="D49" s="248" t="s">
        <v>9</v>
      </c>
      <c r="E49" s="257" t="s">
        <v>155</v>
      </c>
    </row>
    <row r="50" spans="1:7" ht="387.75" customHeight="1">
      <c r="A50" s="258">
        <v>49</v>
      </c>
      <c r="B50" s="258" t="s">
        <v>156</v>
      </c>
      <c r="C50" s="259" t="s">
        <v>157</v>
      </c>
      <c r="D50" s="260" t="s">
        <v>9</v>
      </c>
      <c r="E50" s="229" t="s">
        <v>158</v>
      </c>
    </row>
    <row r="51" spans="1:7" ht="154.5" customHeight="1">
      <c r="A51" s="246">
        <v>50</v>
      </c>
      <c r="B51" s="248" t="s">
        <v>159</v>
      </c>
      <c r="C51" s="245" t="s">
        <v>160</v>
      </c>
      <c r="D51" s="248" t="s">
        <v>9</v>
      </c>
      <c r="E51" s="213" t="s">
        <v>161</v>
      </c>
      <c r="G51" s="266">
        <f ca="1">INDEX('From Batch 20'!K:K, MATCH(B51, 'From Batch 20'!E:E, 0))</f>
        <v>46097.659496064814</v>
      </c>
    </row>
    <row r="52" spans="1:7" ht="93" customHeight="1">
      <c r="A52" s="246">
        <v>51</v>
      </c>
      <c r="B52" s="248" t="s">
        <v>162</v>
      </c>
      <c r="C52" s="245" t="s">
        <v>163</v>
      </c>
      <c r="D52" s="248" t="s">
        <v>9</v>
      </c>
      <c r="E52" s="213" t="s">
        <v>164</v>
      </c>
      <c r="G52" s="266">
        <f ca="1">INDEX('From Batch 20'!K:K, MATCH(B52, 'From Batch 20'!E:E, 0))</f>
        <v>46098.383576273147</v>
      </c>
    </row>
    <row r="53" spans="1:7" ht="148.5">
      <c r="A53" s="246">
        <v>52</v>
      </c>
      <c r="B53" s="248" t="s">
        <v>165</v>
      </c>
      <c r="C53" s="245" t="s">
        <v>166</v>
      </c>
      <c r="D53" s="248" t="s">
        <v>9</v>
      </c>
      <c r="E53" s="263" t="s">
        <v>167</v>
      </c>
      <c r="G53" s="266" t="e">
        <f>INDEX('From Batch 20'!K:K, MATCH(B53, 'From Batch 20'!E:E, 0))</f>
        <v>#N/A</v>
      </c>
    </row>
    <row r="54" spans="1:7" ht="127.5" customHeight="1">
      <c r="A54" s="246">
        <v>53</v>
      </c>
      <c r="B54" s="248" t="s">
        <v>168</v>
      </c>
      <c r="C54" s="245" t="s">
        <v>169</v>
      </c>
      <c r="D54" s="248" t="s">
        <v>9</v>
      </c>
      <c r="E54" s="213" t="s">
        <v>170</v>
      </c>
      <c r="G54" s="266">
        <f ca="1">INDEX('From Batch 20'!K:K, MATCH(B54, 'From Batch 20'!E:E, 0))</f>
        <v>46098.490512962962</v>
      </c>
    </row>
    <row r="55" spans="1:7" ht="67.5">
      <c r="A55" s="246">
        <v>54</v>
      </c>
      <c r="B55" s="260" t="s">
        <v>171</v>
      </c>
      <c r="C55" s="245" t="s">
        <v>172</v>
      </c>
      <c r="D55" s="248" t="s">
        <v>9</v>
      </c>
      <c r="E55" s="263" t="s">
        <v>173</v>
      </c>
      <c r="G55" s="266">
        <f ca="1">INDEX('From Batch 20'!K:K, MATCH(B55, 'From Batch 20'!E:E, 0))</f>
        <v>46098.728607407407</v>
      </c>
    </row>
    <row r="56" spans="1:7" ht="94.5">
      <c r="A56" s="246">
        <v>55</v>
      </c>
      <c r="B56" s="248" t="s">
        <v>174</v>
      </c>
      <c r="C56" s="245" t="s">
        <v>175</v>
      </c>
      <c r="D56" s="248" t="s">
        <v>9</v>
      </c>
      <c r="E56" s="213" t="s">
        <v>176</v>
      </c>
      <c r="G56" s="266">
        <f ca="1">INDEX('From Batch 20'!K:K, MATCH(B56, 'From Batch 20'!E:E, 0))</f>
        <v>46099.377029976851</v>
      </c>
    </row>
    <row r="57" spans="1:7" ht="27">
      <c r="A57" s="246">
        <v>56</v>
      </c>
      <c r="B57" s="248" t="s">
        <v>177</v>
      </c>
      <c r="C57" s="245" t="s">
        <v>178</v>
      </c>
      <c r="D57" s="248" t="s">
        <v>9</v>
      </c>
      <c r="E57" s="213" t="s">
        <v>179</v>
      </c>
      <c r="G57" s="266">
        <f ca="1">INDEX('From Batch 20'!K:K, MATCH(B57, 'From Batch 20'!E:E, 0))</f>
        <v>46099.43047777778</v>
      </c>
    </row>
    <row r="58" spans="1:7" ht="337.5" customHeight="1">
      <c r="A58" s="246">
        <v>57</v>
      </c>
      <c r="B58" s="248" t="s">
        <v>180</v>
      </c>
      <c r="C58" s="245" t="s">
        <v>181</v>
      </c>
      <c r="D58" s="248" t="s">
        <v>9</v>
      </c>
      <c r="E58" s="263" t="s">
        <v>182</v>
      </c>
      <c r="G58" s="266">
        <f ca="1">INDEX('From Batch 20'!K:K, MATCH(B58, 'From Batch 20'!E:E, 0))</f>
        <v>46099.484822222221</v>
      </c>
    </row>
    <row r="59" spans="1:7" ht="189.75" customHeight="1">
      <c r="A59" s="246">
        <v>58</v>
      </c>
      <c r="B59" s="248" t="s">
        <v>183</v>
      </c>
      <c r="C59" s="245" t="s">
        <v>184</v>
      </c>
      <c r="D59" s="248" t="s">
        <v>9</v>
      </c>
      <c r="E59" s="263" t="s">
        <v>185</v>
      </c>
      <c r="G59" s="266">
        <f ca="1">INDEX('From Batch 20'!K:K, MATCH(B59, 'From Batch 20'!E:E, 0))</f>
        <v>46099.62562835648</v>
      </c>
    </row>
    <row r="60" spans="1:7" ht="141.75" customHeight="1">
      <c r="A60" s="246">
        <v>59</v>
      </c>
      <c r="B60" s="248" t="s">
        <v>186</v>
      </c>
      <c r="C60" s="245" t="s">
        <v>187</v>
      </c>
      <c r="D60" s="248" t="s">
        <v>9</v>
      </c>
      <c r="E60" s="213" t="s">
        <v>188</v>
      </c>
      <c r="G60" s="266">
        <f ca="1">INDEX('From Batch 20'!K:K, MATCH(B60, 'From Batch 20'!E:E, 0))</f>
        <v>46099.640525694442</v>
      </c>
    </row>
    <row r="61" spans="1:7" ht="67.5">
      <c r="A61" s="246">
        <v>60</v>
      </c>
      <c r="B61" s="248" t="s">
        <v>189</v>
      </c>
      <c r="C61" s="245" t="s">
        <v>190</v>
      </c>
      <c r="D61" s="248" t="s">
        <v>9</v>
      </c>
      <c r="E61" s="213" t="s">
        <v>191</v>
      </c>
      <c r="G61" s="266">
        <f ca="1">INDEX('From Batch 20'!K:K, MATCH(B61, 'From Batch 20'!E:E, 0))</f>
        <v>46099.716368981484</v>
      </c>
    </row>
    <row r="62" spans="1:7" ht="168" customHeight="1">
      <c r="A62" s="246">
        <v>61</v>
      </c>
      <c r="B62" s="248" t="s">
        <v>192</v>
      </c>
      <c r="C62" s="245" t="s">
        <v>193</v>
      </c>
      <c r="D62" s="248" t="s">
        <v>9</v>
      </c>
      <c r="E62" s="213" t="s">
        <v>194</v>
      </c>
      <c r="G62" s="266">
        <f ca="1">INDEX('From Batch 20'!K:K, MATCH(B62, 'From Batch 20'!E:E, 0))</f>
        <v>46100.487657175923</v>
      </c>
    </row>
    <row r="63" spans="1:7" ht="27">
      <c r="A63" s="246">
        <v>62</v>
      </c>
      <c r="B63" s="248" t="s">
        <v>195</v>
      </c>
      <c r="C63" s="245" t="s">
        <v>196</v>
      </c>
      <c r="D63" s="248" t="s">
        <v>9</v>
      </c>
      <c r="E63" s="213" t="s">
        <v>197</v>
      </c>
      <c r="G63" s="266">
        <f ca="1">INDEX('From Batch 20'!K:K, MATCH(B63, 'From Batch 20'!E:E, 0))</f>
        <v>46100.611633449073</v>
      </c>
    </row>
    <row r="64" spans="1:7" ht="40.5">
      <c r="A64" s="246">
        <v>63</v>
      </c>
      <c r="B64" s="248" t="s">
        <v>198</v>
      </c>
      <c r="C64" s="245" t="s">
        <v>199</v>
      </c>
      <c r="D64" s="248" t="s">
        <v>9</v>
      </c>
      <c r="E64" s="263" t="s">
        <v>200</v>
      </c>
      <c r="G64" s="266">
        <f ca="1">INDEX('From Batch 20'!K:K, MATCH(B64, 'From Batch 20'!E:E, 0))</f>
        <v>46100.651695486114</v>
      </c>
    </row>
    <row r="65" spans="1:7" ht="81">
      <c r="A65" s="246">
        <v>64</v>
      </c>
      <c r="B65" s="248" t="s">
        <v>201</v>
      </c>
      <c r="C65" s="245" t="s">
        <v>202</v>
      </c>
      <c r="D65" s="248" t="s">
        <v>9</v>
      </c>
      <c r="E65" s="213" t="s">
        <v>203</v>
      </c>
      <c r="G65" s="266">
        <f ca="1">INDEX('From Batch 20'!K:K, MATCH(B65, 'From Batch 20'!E:E, 0))</f>
        <v>46101.415755671296</v>
      </c>
    </row>
    <row r="66" spans="1:7" ht="228" customHeight="1">
      <c r="A66" s="246">
        <v>65</v>
      </c>
      <c r="B66" s="248" t="s">
        <v>204</v>
      </c>
      <c r="C66" s="245" t="s">
        <v>205</v>
      </c>
      <c r="D66" s="248" t="s">
        <v>9</v>
      </c>
      <c r="E66" s="263" t="s">
        <v>206</v>
      </c>
      <c r="G66" s="266">
        <f ca="1">INDEX('From Batch 20'!K:K, MATCH(B66, 'From Batch 20'!E:E, 0))</f>
        <v>46101.437827314818</v>
      </c>
    </row>
    <row r="67" spans="1:7" ht="111" customHeight="1">
      <c r="A67" s="246">
        <v>66</v>
      </c>
      <c r="B67" s="248" t="s">
        <v>207</v>
      </c>
      <c r="C67" s="245" t="s">
        <v>208</v>
      </c>
      <c r="D67" s="248" t="s">
        <v>9</v>
      </c>
      <c r="E67" s="213" t="s">
        <v>209</v>
      </c>
      <c r="G67" s="266">
        <f ca="1">INDEX('From Batch 20'!K:K, MATCH(B67, 'From Batch 20'!E:E, 0))</f>
        <v>46101.467618055554</v>
      </c>
    </row>
    <row r="68" spans="1:7" s="275" customFormat="1" ht="101.25" customHeight="1">
      <c r="A68" s="274">
        <v>67</v>
      </c>
      <c r="B68" s="275" t="s">
        <v>210</v>
      </c>
      <c r="C68" s="276" t="s">
        <v>211</v>
      </c>
      <c r="D68" s="275" t="s">
        <v>9</v>
      </c>
      <c r="E68" s="277" t="s">
        <v>212</v>
      </c>
      <c r="F68" s="276" t="s">
        <v>213</v>
      </c>
      <c r="G68" s="278">
        <f ca="1">INDEX('From Batch 20'!K:K, MATCH(B68, 'From Batch 20'!E:E, 0))</f>
        <v>46101.545785069444</v>
      </c>
    </row>
    <row r="69" spans="1:7" ht="78" customHeight="1">
      <c r="A69" s="246">
        <v>68</v>
      </c>
      <c r="B69" s="248" t="s">
        <v>214</v>
      </c>
      <c r="C69" s="245" t="s">
        <v>215</v>
      </c>
      <c r="D69" s="248" t="s">
        <v>9</v>
      </c>
      <c r="E69" s="213" t="s">
        <v>216</v>
      </c>
      <c r="G69" s="266">
        <f ca="1">INDEX('From Batch 20'!K:K, MATCH(B69, 'From Batch 20'!E:E, 0))</f>
        <v>46101.573129166667</v>
      </c>
    </row>
    <row r="70" spans="1:7" ht="88.5" customHeight="1">
      <c r="A70" s="279">
        <v>69</v>
      </c>
      <c r="B70" s="248" t="s">
        <v>217</v>
      </c>
      <c r="C70" s="245" t="s">
        <v>218</v>
      </c>
      <c r="D70" s="248" t="s">
        <v>9</v>
      </c>
      <c r="E70" s="213" t="s">
        <v>219</v>
      </c>
      <c r="G70" s="266">
        <f ca="1">INDEX('From Batch 20'!K:K, MATCH(B70, 'From Batch 20'!E:E, 0))</f>
        <v>46104.424131250002</v>
      </c>
    </row>
    <row r="71" spans="1:7" ht="114" customHeight="1">
      <c r="A71" s="279">
        <v>70</v>
      </c>
      <c r="B71" s="248" t="s">
        <v>220</v>
      </c>
      <c r="C71" s="245" t="s">
        <v>221</v>
      </c>
      <c r="D71" s="248" t="s">
        <v>9</v>
      </c>
      <c r="E71" s="213" t="s">
        <v>222</v>
      </c>
      <c r="G71" s="266">
        <f ca="1">INDEX('From Batch 20'!K:K, MATCH(B71, 'From Batch 20'!E:E, 0))</f>
        <v>46104.463479398146</v>
      </c>
    </row>
    <row r="72" spans="1:7" ht="200.25" customHeight="1">
      <c r="A72" s="279">
        <v>71</v>
      </c>
      <c r="B72" s="248" t="s">
        <v>223</v>
      </c>
      <c r="C72" s="245" t="s">
        <v>224</v>
      </c>
      <c r="D72" s="248" t="s">
        <v>9</v>
      </c>
      <c r="E72" s="213" t="s">
        <v>225</v>
      </c>
      <c r="G72" s="266">
        <f ca="1">INDEX('From Batch 20'!K:K, MATCH(B72, 'From Batch 20'!E:E, 0))</f>
        <v>46104.625045370369</v>
      </c>
    </row>
    <row r="73" spans="1:7" ht="145.5" customHeight="1">
      <c r="A73" s="279">
        <v>72</v>
      </c>
      <c r="B73" s="248" t="s">
        <v>226</v>
      </c>
      <c r="C73" s="245" t="s">
        <v>227</v>
      </c>
      <c r="D73" s="248" t="s">
        <v>9</v>
      </c>
      <c r="E73" s="263" t="s">
        <v>228</v>
      </c>
      <c r="G73" s="266">
        <f ca="1">INDEX('From Batch 20'!K:K, MATCH(B73, 'From Batch 20'!E:E, 0))</f>
        <v>46104.653727314813</v>
      </c>
    </row>
    <row r="74" spans="1:7" ht="94.5">
      <c r="A74" s="279">
        <v>73</v>
      </c>
      <c r="B74" s="248" t="s">
        <v>229</v>
      </c>
      <c r="C74" s="245" t="s">
        <v>230</v>
      </c>
      <c r="D74" s="248" t="s">
        <v>9</v>
      </c>
      <c r="E74" s="263" t="s">
        <v>231</v>
      </c>
      <c r="G74" s="266">
        <f ca="1">INDEX('From Batch 20'!K:K, MATCH(B74, 'From Batch 20'!E:E, 0))</f>
        <v>46105.391547685183</v>
      </c>
    </row>
    <row r="75" spans="1:7" ht="51" customHeight="1">
      <c r="A75" s="279">
        <v>74</v>
      </c>
      <c r="B75" s="248" t="s">
        <v>232</v>
      </c>
      <c r="C75" s="245" t="s">
        <v>233</v>
      </c>
      <c r="D75" s="248" t="s">
        <v>9</v>
      </c>
      <c r="E75" s="263" t="s">
        <v>234</v>
      </c>
      <c r="G75" s="266">
        <f ca="1">INDEX('From Batch 20'!K:K, MATCH(B75, 'From Batch 20'!E:E, 0))</f>
        <v>46105.436077777777</v>
      </c>
    </row>
    <row r="76" spans="1:7" ht="76.5" customHeight="1">
      <c r="A76" s="279">
        <v>75</v>
      </c>
      <c r="B76" s="248" t="s">
        <v>235</v>
      </c>
      <c r="C76" s="245" t="s">
        <v>236</v>
      </c>
      <c r="D76" s="248" t="s">
        <v>9</v>
      </c>
      <c r="E76" s="229" t="s">
        <v>235</v>
      </c>
      <c r="F76" s="245" t="s">
        <v>237</v>
      </c>
      <c r="G76" s="266" t="e">
        <f>INDEX('From Batch 20'!K:K, MATCH(B76, 'From Batch 20'!E:E, 0))</f>
        <v>#N/A</v>
      </c>
    </row>
    <row r="77" spans="1:7" ht="230.25" customHeight="1">
      <c r="A77" s="279">
        <v>76</v>
      </c>
      <c r="B77" s="248" t="s">
        <v>238</v>
      </c>
      <c r="C77" s="245" t="s">
        <v>239</v>
      </c>
      <c r="D77" s="248" t="s">
        <v>9</v>
      </c>
      <c r="E77" s="263" t="s">
        <v>240</v>
      </c>
      <c r="G77" s="266">
        <f ca="1">INDEX('From Batch 20'!K:K, MATCH(B77, 'From Batch 20'!E:E, 0))</f>
        <v>46105.579611805559</v>
      </c>
    </row>
    <row r="78" spans="1:7" ht="89.25" customHeight="1">
      <c r="A78" s="279">
        <v>77</v>
      </c>
      <c r="B78" s="248" t="s">
        <v>241</v>
      </c>
      <c r="C78" s="245" t="s">
        <v>242</v>
      </c>
      <c r="D78" s="248" t="s">
        <v>9</v>
      </c>
      <c r="E78" s="213" t="s">
        <v>243</v>
      </c>
      <c r="G78" s="266">
        <f ca="1">INDEX('From Batch 20'!K:K, MATCH(B78, 'From Batch 20'!E:E, 0))</f>
        <v>46105.610317245373</v>
      </c>
    </row>
    <row r="79" spans="1:7" ht="115.5" customHeight="1">
      <c r="A79" s="279">
        <v>78</v>
      </c>
      <c r="B79" s="248" t="s">
        <v>244</v>
      </c>
      <c r="C79" s="245" t="s">
        <v>245</v>
      </c>
      <c r="D79" s="248" t="s">
        <v>9</v>
      </c>
      <c r="E79" s="213" t="s">
        <v>246</v>
      </c>
      <c r="G79" s="266">
        <f ca="1">INDEX('From Batch 20'!K:K, MATCH(B79, 'From Batch 20'!E:E, 0))</f>
        <v>46105.667801504627</v>
      </c>
    </row>
    <row r="80" spans="1:7" ht="155.25" customHeight="1">
      <c r="A80" s="279">
        <v>79</v>
      </c>
      <c r="B80" s="248" t="s">
        <v>247</v>
      </c>
      <c r="C80" s="245" t="s">
        <v>248</v>
      </c>
      <c r="D80" s="248" t="s">
        <v>9</v>
      </c>
      <c r="E80" s="263" t="s">
        <v>249</v>
      </c>
      <c r="G80" s="266">
        <v>46105</v>
      </c>
    </row>
    <row r="81" spans="1:7" ht="198.75" customHeight="1">
      <c r="A81" s="279">
        <v>80</v>
      </c>
      <c r="B81" s="248" t="s">
        <v>250</v>
      </c>
      <c r="C81" s="297" t="s">
        <v>251</v>
      </c>
      <c r="D81" s="248" t="s">
        <v>9</v>
      </c>
      <c r="E81" s="263" t="s">
        <v>252</v>
      </c>
      <c r="G81" s="266">
        <v>46106</v>
      </c>
    </row>
    <row r="82" spans="1:7" ht="123.75" customHeight="1">
      <c r="A82" s="279">
        <v>81</v>
      </c>
      <c r="B82" s="248" t="s">
        <v>253</v>
      </c>
      <c r="C82" s="245" t="s">
        <v>254</v>
      </c>
      <c r="D82" s="248" t="s">
        <v>9</v>
      </c>
      <c r="E82" s="213" t="s">
        <v>255</v>
      </c>
      <c r="G82" s="266">
        <f ca="1">INDEX('From Batch 20'!K:K, MATCH(B82, 'From Batch 20'!E:E, 0))</f>
        <v>46106.636053587965</v>
      </c>
    </row>
    <row r="83" spans="1:7" ht="249" customHeight="1">
      <c r="A83" s="279">
        <v>81</v>
      </c>
      <c r="B83" s="28" t="s">
        <v>256</v>
      </c>
      <c r="C83" s="245" t="s">
        <v>257</v>
      </c>
      <c r="D83" s="248" t="s">
        <v>9</v>
      </c>
      <c r="E83" s="263" t="s">
        <v>258</v>
      </c>
      <c r="G83" s="266">
        <v>46106</v>
      </c>
    </row>
    <row r="84" spans="1:7" ht="196.5" customHeight="1">
      <c r="A84" s="279">
        <v>82</v>
      </c>
      <c r="B84" s="248" t="s">
        <v>259</v>
      </c>
      <c r="C84" s="245" t="s">
        <v>260</v>
      </c>
      <c r="D84" s="248" t="s">
        <v>9</v>
      </c>
      <c r="E84" s="213" t="s">
        <v>261</v>
      </c>
      <c r="G84" s="266" t="e">
        <f>INDEX('From Batch 20'!K:K, MATCH(B84, 'From Batch 20'!E:E, 0))</f>
        <v>#N/A</v>
      </c>
    </row>
    <row r="85" spans="1:7" ht="160.5" customHeight="1">
      <c r="A85" s="279">
        <v>83</v>
      </c>
      <c r="B85" s="248" t="s">
        <v>262</v>
      </c>
      <c r="C85" s="245" t="s">
        <v>263</v>
      </c>
      <c r="D85" s="248" t="s">
        <v>9</v>
      </c>
      <c r="E85" s="263" t="s">
        <v>264</v>
      </c>
      <c r="G85" s="266">
        <v>46106</v>
      </c>
    </row>
    <row r="86" spans="1:7" ht="148.5">
      <c r="A86" s="279">
        <v>84</v>
      </c>
      <c r="B86" s="248" t="s">
        <v>265</v>
      </c>
      <c r="C86" s="245" t="s">
        <v>266</v>
      </c>
      <c r="D86" s="248" t="s">
        <v>9</v>
      </c>
      <c r="E86" s="213" t="s">
        <v>267</v>
      </c>
      <c r="G86" s="266">
        <f ca="1">INDEX('From Batch 20'!K:K, MATCH(B86, 'From Batch 20'!E:E, 0))</f>
        <v>46107.407992939814</v>
      </c>
    </row>
    <row r="87" spans="1:7" ht="184.5" customHeight="1">
      <c r="A87" s="279">
        <v>85</v>
      </c>
      <c r="B87" s="248" t="s">
        <v>268</v>
      </c>
      <c r="C87" s="245" t="s">
        <v>269</v>
      </c>
      <c r="D87" s="248" t="s">
        <v>9</v>
      </c>
      <c r="E87" s="213" t="s">
        <v>270</v>
      </c>
      <c r="G87" s="266">
        <f ca="1">INDEX('From Batch 20'!K:K, MATCH(B87, 'From Batch 20'!E:E, 0))</f>
        <v>46107.478641435184</v>
      </c>
    </row>
    <row r="88" spans="1:7" ht="27">
      <c r="A88" s="279">
        <v>86</v>
      </c>
      <c r="B88" s="248" t="s">
        <v>271</v>
      </c>
      <c r="C88" s="245" t="s">
        <v>272</v>
      </c>
      <c r="D88" s="248" t="s">
        <v>9</v>
      </c>
      <c r="E88" s="213" t="s">
        <v>273</v>
      </c>
      <c r="G88" s="266">
        <f ca="1">INDEX('From Batch 20'!K:K, MATCH(B88, 'From Batch 20'!E:E, 0))</f>
        <v>46107.651822916669</v>
      </c>
    </row>
    <row r="89" spans="1:7" ht="53.25">
      <c r="A89" s="279">
        <v>87</v>
      </c>
      <c r="B89" s="248" t="s">
        <v>274</v>
      </c>
      <c r="C89" s="245" t="s">
        <v>275</v>
      </c>
      <c r="D89" s="248" t="s">
        <v>9</v>
      </c>
      <c r="E89" s="213" t="s">
        <v>276</v>
      </c>
      <c r="G89" s="266">
        <f ca="1">INDEX('From Batch 20'!K:K, MATCH(B89, 'From Batch 20'!E:E, 0))</f>
        <v>46107.694358217595</v>
      </c>
    </row>
    <row r="90" spans="1:7" ht="234.75" customHeight="1">
      <c r="A90" s="246">
        <v>88</v>
      </c>
      <c r="B90" s="248" t="s">
        <v>277</v>
      </c>
      <c r="C90" s="245" t="s">
        <v>278</v>
      </c>
      <c r="D90" s="248" t="s">
        <v>9</v>
      </c>
      <c r="E90" s="263" t="s">
        <v>279</v>
      </c>
      <c r="G90" s="266">
        <v>46107.478641435184</v>
      </c>
    </row>
    <row r="91" spans="1:7" ht="151.5" customHeight="1">
      <c r="A91" s="246">
        <v>89</v>
      </c>
      <c r="B91" s="248" t="s">
        <v>280</v>
      </c>
      <c r="C91" s="245" t="s">
        <v>281</v>
      </c>
      <c r="D91" s="248" t="s">
        <v>9</v>
      </c>
      <c r="E91" s="213" t="s">
        <v>282</v>
      </c>
      <c r="G91" s="266">
        <f ca="1">INDEX('From Batch 20'!K:K, MATCH(B91, 'From Batch 20'!E:E, 0))</f>
        <v>46108.456856944445</v>
      </c>
    </row>
    <row r="92" spans="1:7" ht="156.75" customHeight="1">
      <c r="A92" s="246">
        <v>90</v>
      </c>
      <c r="B92" s="248" t="s">
        <v>283</v>
      </c>
      <c r="C92" s="245" t="s">
        <v>284</v>
      </c>
      <c r="D92" s="248" t="s">
        <v>9</v>
      </c>
      <c r="E92" s="263" t="s">
        <v>285</v>
      </c>
      <c r="G92" s="266">
        <f ca="1">INDEX('From Batch 20'!K:K, MATCH(B92, 'From Batch 20'!E:E, 0))</f>
        <v>46108.584768749999</v>
      </c>
    </row>
    <row r="93" spans="1:7" ht="215.25" customHeight="1">
      <c r="A93" s="246">
        <v>91</v>
      </c>
      <c r="B93" s="180" t="s">
        <v>286</v>
      </c>
      <c r="C93" s="245" t="s">
        <v>287</v>
      </c>
      <c r="D93" s="248" t="s">
        <v>9</v>
      </c>
      <c r="E93" s="263" t="s">
        <v>288</v>
      </c>
      <c r="G93" s="266">
        <v>46111</v>
      </c>
    </row>
    <row r="94" spans="1:7" ht="149.25" customHeight="1">
      <c r="A94" s="246">
        <v>92</v>
      </c>
      <c r="B94" s="28" t="s">
        <v>289</v>
      </c>
      <c r="C94" s="245" t="s">
        <v>290</v>
      </c>
      <c r="D94" s="248" t="s">
        <v>9</v>
      </c>
      <c r="E94" s="263" t="s">
        <v>291</v>
      </c>
      <c r="G94" s="266">
        <v>46111</v>
      </c>
    </row>
    <row r="95" spans="1:7" ht="114.75" customHeight="1">
      <c r="A95" s="246">
        <v>93</v>
      </c>
      <c r="B95" s="248" t="s">
        <v>292</v>
      </c>
      <c r="C95" s="245" t="s">
        <v>293</v>
      </c>
      <c r="D95" s="248" t="s">
        <v>9</v>
      </c>
      <c r="E95" s="263" t="s">
        <v>294</v>
      </c>
      <c r="G95" s="266">
        <v>46111</v>
      </c>
    </row>
    <row r="96" spans="1:7" ht="199.5" customHeight="1">
      <c r="A96" s="246">
        <v>94</v>
      </c>
      <c r="B96" s="248" t="s">
        <v>295</v>
      </c>
      <c r="C96" s="245" t="s">
        <v>296</v>
      </c>
      <c r="D96" s="248" t="s">
        <v>9</v>
      </c>
      <c r="E96" s="213" t="s">
        <v>297</v>
      </c>
      <c r="G96" s="266">
        <f ca="1">INDEX('From Batch 20'!K:K, MATCH(B96, 'From Batch 20'!E:E, 0))</f>
        <v>46111.685575462965</v>
      </c>
    </row>
    <row r="97" spans="1:7" ht="67.5">
      <c r="A97" s="246">
        <v>95</v>
      </c>
      <c r="B97" s="248" t="s">
        <v>298</v>
      </c>
      <c r="C97" s="245" t="s">
        <v>299</v>
      </c>
      <c r="D97" s="248" t="s">
        <v>9</v>
      </c>
      <c r="E97" s="213" t="s">
        <v>300</v>
      </c>
      <c r="G97" s="266">
        <f ca="1">INDEX('From Batch 20'!K:K, MATCH(B97, 'From Batch 20'!E:E, 0))</f>
        <v>46112.462964583334</v>
      </c>
    </row>
    <row r="98" spans="1:7" ht="203.25" customHeight="1">
      <c r="A98" s="246">
        <v>96</v>
      </c>
      <c r="B98" s="248" t="s">
        <v>301</v>
      </c>
      <c r="C98" s="245" t="s">
        <v>302</v>
      </c>
      <c r="D98" s="248" t="s">
        <v>9</v>
      </c>
      <c r="E98" s="263" t="s">
        <v>303</v>
      </c>
      <c r="G98" s="266">
        <v>46112</v>
      </c>
    </row>
    <row r="99" spans="1:7" ht="148.5" customHeight="1">
      <c r="A99" s="246">
        <v>97</v>
      </c>
      <c r="B99" s="248" t="s">
        <v>304</v>
      </c>
      <c r="C99" s="245" t="s">
        <v>305</v>
      </c>
      <c r="D99" s="248" t="s">
        <v>9</v>
      </c>
      <c r="E99" s="263" t="s">
        <v>306</v>
      </c>
      <c r="G99" s="266">
        <v>46112</v>
      </c>
    </row>
    <row r="100" spans="1:7" ht="178.5" customHeight="1">
      <c r="A100" s="246">
        <v>98</v>
      </c>
      <c r="B100" s="248" t="s">
        <v>307</v>
      </c>
      <c r="C100" s="245" t="s">
        <v>308</v>
      </c>
      <c r="D100" s="248" t="s">
        <v>9</v>
      </c>
      <c r="E100" s="213" t="s">
        <v>309</v>
      </c>
      <c r="G100" s="266">
        <f ca="1">INDEX('From Batch 20'!K:K, MATCH(B100, 'From Batch 20'!E:E, 0))</f>
        <v>46112.614123842592</v>
      </c>
    </row>
    <row r="101" spans="1:7" ht="154.5" customHeight="1">
      <c r="A101" s="246">
        <v>99</v>
      </c>
      <c r="B101" s="248" t="s">
        <v>310</v>
      </c>
      <c r="C101" s="245" t="s">
        <v>311</v>
      </c>
      <c r="D101" s="248" t="s">
        <v>9</v>
      </c>
      <c r="E101" s="213" t="s">
        <v>312</v>
      </c>
      <c r="G101" s="266">
        <f ca="1">INDEX('From Batch 20'!K:K, MATCH(B101, 'From Batch 20'!E:E, 0))</f>
        <v>46112.681626967591</v>
      </c>
    </row>
    <row r="102" spans="1:7" ht="287.25" customHeight="1">
      <c r="A102" s="246">
        <v>100</v>
      </c>
      <c r="B102" s="248" t="s">
        <v>313</v>
      </c>
      <c r="C102" s="245" t="s">
        <v>314</v>
      </c>
      <c r="D102" s="248" t="s">
        <v>9</v>
      </c>
      <c r="E102" s="263" t="s">
        <v>315</v>
      </c>
      <c r="G102" s="266">
        <f ca="1">INDEX('From Batch 20'!K:K, MATCH(B102, 'From Batch 20'!E:E, 0))</f>
        <v>46112.689832060183</v>
      </c>
    </row>
    <row r="103" spans="1:7" ht="161.25" customHeight="1">
      <c r="A103" s="246">
        <v>101</v>
      </c>
      <c r="B103" s="248" t="s">
        <v>316</v>
      </c>
      <c r="C103" s="245" t="s">
        <v>317</v>
      </c>
      <c r="D103" s="248" t="s">
        <v>9</v>
      </c>
      <c r="E103" s="263" t="s">
        <v>318</v>
      </c>
      <c r="G103" s="266">
        <v>46113</v>
      </c>
    </row>
    <row r="104" spans="1:7" ht="177" customHeight="1">
      <c r="A104" s="246">
        <v>102</v>
      </c>
      <c r="B104" s="248" t="s">
        <v>319</v>
      </c>
      <c r="C104" s="299" t="s">
        <v>320</v>
      </c>
      <c r="D104" s="248" t="s">
        <v>9</v>
      </c>
      <c r="E104" s="263" t="s">
        <v>321</v>
      </c>
      <c r="G104" s="266">
        <v>46113</v>
      </c>
    </row>
    <row r="105" spans="1:7" ht="323.25" customHeight="1">
      <c r="A105" s="246">
        <v>103</v>
      </c>
      <c r="B105" s="248" t="s">
        <v>322</v>
      </c>
      <c r="C105" s="245" t="s">
        <v>323</v>
      </c>
      <c r="D105" s="248" t="s">
        <v>9</v>
      </c>
      <c r="E105" s="213" t="s">
        <v>324</v>
      </c>
      <c r="G105" s="266">
        <f ca="1">INDEX('From Batch 20'!K:K, MATCH(B105, 'From Batch 20'!E:E, 0))</f>
        <v>46113.626277777781</v>
      </c>
    </row>
    <row r="106" spans="1:7" ht="14.25">
      <c r="A106" s="246">
        <v>104</v>
      </c>
      <c r="B106" s="248" t="s">
        <v>325</v>
      </c>
      <c r="C106" s="248" t="s">
        <v>326</v>
      </c>
      <c r="D106" s="248" t="s">
        <v>9</v>
      </c>
      <c r="E106" s="263" t="s">
        <v>327</v>
      </c>
      <c r="G106" s="266">
        <v>46113</v>
      </c>
    </row>
    <row r="107" spans="1:7" ht="144" customHeight="1">
      <c r="A107" s="246">
        <v>105</v>
      </c>
      <c r="B107" s="248" t="s">
        <v>328</v>
      </c>
      <c r="C107" s="299" t="s">
        <v>329</v>
      </c>
      <c r="D107" s="248" t="s">
        <v>9</v>
      </c>
      <c r="E107" s="263" t="s">
        <v>330</v>
      </c>
      <c r="G107" s="266">
        <v>46114</v>
      </c>
    </row>
    <row r="108" spans="1:7" ht="27">
      <c r="A108" s="246">
        <v>106</v>
      </c>
      <c r="B108" s="248" t="s">
        <v>331</v>
      </c>
      <c r="C108" s="245" t="s">
        <v>332</v>
      </c>
      <c r="D108" s="248" t="s">
        <v>9</v>
      </c>
      <c r="E108" s="213" t="s">
        <v>333</v>
      </c>
      <c r="G108" s="266">
        <f ca="1">INDEX('From Batch 20'!K:K, MATCH(B108, 'From Batch 20'!E:E, 0))</f>
        <v>46114.419215624999</v>
      </c>
    </row>
    <row r="109" spans="1:7" ht="144.75" customHeight="1">
      <c r="A109" s="246">
        <v>107</v>
      </c>
      <c r="B109" s="248" t="s">
        <v>334</v>
      </c>
      <c r="C109" s="245" t="s">
        <v>335</v>
      </c>
      <c r="D109" s="248" t="s">
        <v>9</v>
      </c>
      <c r="E109" s="263" t="s">
        <v>336</v>
      </c>
      <c r="G109" s="266">
        <v>46114</v>
      </c>
    </row>
    <row r="110" spans="1:7" ht="126" customHeight="1">
      <c r="A110" s="246">
        <v>108</v>
      </c>
      <c r="B110" s="248" t="s">
        <v>337</v>
      </c>
      <c r="C110" s="245" t="s">
        <v>338</v>
      </c>
      <c r="D110" s="248" t="s">
        <v>9</v>
      </c>
      <c r="E110" s="263" t="s">
        <v>339</v>
      </c>
      <c r="G110" s="266">
        <v>46114</v>
      </c>
    </row>
    <row r="111" spans="1:7" ht="195.75" customHeight="1">
      <c r="A111" s="246">
        <v>109</v>
      </c>
      <c r="B111" s="248" t="s">
        <v>340</v>
      </c>
      <c r="C111" s="245" t="s">
        <v>341</v>
      </c>
      <c r="D111" s="248" t="s">
        <v>9</v>
      </c>
      <c r="E111" s="263" t="s">
        <v>342</v>
      </c>
      <c r="G111" s="266">
        <v>46115</v>
      </c>
    </row>
    <row r="112" spans="1:7" ht="27">
      <c r="A112" s="246">
        <v>110</v>
      </c>
      <c r="B112" s="248" t="s">
        <v>343</v>
      </c>
      <c r="C112" s="245" t="s">
        <v>344</v>
      </c>
      <c r="D112" s="248" t="s">
        <v>9</v>
      </c>
      <c r="E112" s="263" t="s">
        <v>345</v>
      </c>
      <c r="G112" s="266">
        <v>46115</v>
      </c>
    </row>
    <row r="113" spans="1:7" ht="300.75" customHeight="1">
      <c r="A113" s="246">
        <v>111</v>
      </c>
      <c r="B113" s="248" t="s">
        <v>346</v>
      </c>
      <c r="C113" s="245" t="s">
        <v>347</v>
      </c>
      <c r="D113" s="248" t="s">
        <v>9</v>
      </c>
      <c r="E113" s="213" t="s">
        <v>348</v>
      </c>
      <c r="F113" s="245" t="s">
        <v>349</v>
      </c>
      <c r="G113" s="266">
        <f ca="1">INDEX('From Batch 20'!K:K, MATCH(B113, 'From Batch 20'!E:E, 0))</f>
        <v>46115.479766203702</v>
      </c>
    </row>
    <row r="114" spans="1:7" ht="67.5">
      <c r="A114" s="246">
        <v>112</v>
      </c>
      <c r="B114" s="248" t="s">
        <v>350</v>
      </c>
      <c r="C114" s="245" t="s">
        <v>351</v>
      </c>
      <c r="D114" s="248" t="s">
        <v>9</v>
      </c>
      <c r="E114" s="263" t="s">
        <v>352</v>
      </c>
      <c r="G114" s="266">
        <v>46115</v>
      </c>
    </row>
    <row r="115" spans="1:7" ht="129.75" customHeight="1">
      <c r="A115" s="246">
        <v>113</v>
      </c>
      <c r="B115" s="248" t="s">
        <v>353</v>
      </c>
      <c r="C115" s="299" t="s">
        <v>354</v>
      </c>
      <c r="D115" s="248" t="s">
        <v>9</v>
      </c>
      <c r="E115" s="263" t="s">
        <v>355</v>
      </c>
      <c r="G115" s="266">
        <v>46115</v>
      </c>
    </row>
    <row r="116" spans="1:7" ht="173.25" customHeight="1">
      <c r="A116" s="246">
        <v>114</v>
      </c>
      <c r="B116" s="248" t="s">
        <v>356</v>
      </c>
      <c r="C116" s="245" t="s">
        <v>357</v>
      </c>
      <c r="D116" s="248" t="s">
        <v>9</v>
      </c>
      <c r="E116" s="263" t="s">
        <v>358</v>
      </c>
      <c r="G116" s="266">
        <v>46116</v>
      </c>
    </row>
    <row r="117" spans="1:7" ht="102" customHeight="1">
      <c r="A117" s="246">
        <v>115</v>
      </c>
      <c r="B117" s="248" t="s">
        <v>359</v>
      </c>
      <c r="C117" s="245" t="s">
        <v>360</v>
      </c>
      <c r="D117" s="248" t="s">
        <v>9</v>
      </c>
      <c r="E117" s="263" t="s">
        <v>361</v>
      </c>
      <c r="G117" s="266">
        <v>46116</v>
      </c>
    </row>
    <row r="118" spans="1:7" ht="100.5" customHeight="1">
      <c r="A118" s="246">
        <v>116</v>
      </c>
      <c r="B118" s="248" t="s">
        <v>362</v>
      </c>
      <c r="C118" s="297" t="s">
        <v>363</v>
      </c>
      <c r="D118" s="248" t="s">
        <v>9</v>
      </c>
      <c r="E118" s="263" t="s">
        <v>364</v>
      </c>
      <c r="G118" s="266">
        <v>46118</v>
      </c>
    </row>
    <row r="119" spans="1:7" ht="67.5">
      <c r="A119" s="246">
        <v>117</v>
      </c>
      <c r="B119" s="248" t="s">
        <v>365</v>
      </c>
      <c r="C119" s="245" t="s">
        <v>366</v>
      </c>
      <c r="D119" s="248" t="s">
        <v>9</v>
      </c>
      <c r="E119" s="263" t="s">
        <v>367</v>
      </c>
      <c r="G119" s="266">
        <v>46118</v>
      </c>
    </row>
    <row r="120" spans="1:7" ht="184.5" customHeight="1">
      <c r="A120" s="246">
        <v>118</v>
      </c>
      <c r="B120" s="248" t="s">
        <v>368</v>
      </c>
      <c r="C120" s="245" t="s">
        <v>369</v>
      </c>
      <c r="D120" s="248" t="s">
        <v>370</v>
      </c>
      <c r="E120" s="263" t="s">
        <v>371</v>
      </c>
      <c r="G120" s="266">
        <v>46118</v>
      </c>
    </row>
    <row r="121" spans="1:7" ht="53.25">
      <c r="A121" s="246">
        <v>119</v>
      </c>
      <c r="B121" s="248" t="s">
        <v>372</v>
      </c>
      <c r="C121" s="252" t="s">
        <v>373</v>
      </c>
      <c r="D121" s="248" t="s">
        <v>9</v>
      </c>
      <c r="E121" s="263" t="s">
        <v>374</v>
      </c>
      <c r="G121" s="266">
        <v>46118</v>
      </c>
    </row>
    <row r="122" spans="1:7" ht="258" customHeight="1">
      <c r="A122" s="246">
        <v>120</v>
      </c>
      <c r="B122" s="248" t="s">
        <v>375</v>
      </c>
      <c r="C122" s="245" t="s">
        <v>376</v>
      </c>
      <c r="D122" s="248" t="s">
        <v>370</v>
      </c>
      <c r="E122" s="263" t="s">
        <v>377</v>
      </c>
      <c r="G122" s="266">
        <v>46119</v>
      </c>
    </row>
    <row r="123" spans="1:7" ht="220.5" customHeight="1">
      <c r="A123" s="246">
        <v>121</v>
      </c>
      <c r="B123" s="248" t="s">
        <v>378</v>
      </c>
      <c r="C123" s="245" t="s">
        <v>379</v>
      </c>
      <c r="D123" s="248" t="s">
        <v>370</v>
      </c>
      <c r="E123" s="263" t="s">
        <v>380</v>
      </c>
      <c r="G123" s="266">
        <v>46119</v>
      </c>
    </row>
    <row r="124" spans="1:7" ht="144" customHeight="1">
      <c r="A124" s="246">
        <v>122</v>
      </c>
      <c r="B124" s="248" t="s">
        <v>381</v>
      </c>
      <c r="C124" s="245" t="s">
        <v>382</v>
      </c>
      <c r="D124" s="248" t="s">
        <v>370</v>
      </c>
      <c r="E124" s="263" t="s">
        <v>383</v>
      </c>
      <c r="G124" s="266">
        <v>46120</v>
      </c>
    </row>
    <row r="125" spans="1:7" ht="70.5" customHeight="1">
      <c r="A125" s="246">
        <v>123</v>
      </c>
      <c r="B125" s="248" t="s">
        <v>384</v>
      </c>
      <c r="C125" s="245" t="s">
        <v>385</v>
      </c>
      <c r="D125" s="248" t="s">
        <v>370</v>
      </c>
      <c r="E125" s="263" t="s">
        <v>386</v>
      </c>
      <c r="G125" s="266">
        <v>46120</v>
      </c>
    </row>
    <row r="126" spans="1:7" ht="84" customHeight="1">
      <c r="A126" s="246">
        <v>124</v>
      </c>
      <c r="B126" s="248" t="s">
        <v>387</v>
      </c>
      <c r="C126" s="252" t="s">
        <v>388</v>
      </c>
      <c r="D126" s="248" t="s">
        <v>9</v>
      </c>
      <c r="E126" s="263" t="s">
        <v>389</v>
      </c>
      <c r="G126" s="266">
        <v>46120</v>
      </c>
    </row>
    <row r="127" spans="1:7" ht="204" customHeight="1">
      <c r="A127" s="246">
        <v>125</v>
      </c>
      <c r="B127" s="248" t="s">
        <v>390</v>
      </c>
      <c r="C127" s="245" t="s">
        <v>391</v>
      </c>
      <c r="D127" s="248" t="s">
        <v>9</v>
      </c>
      <c r="E127" s="263" t="s">
        <v>392</v>
      </c>
      <c r="G127" s="266">
        <v>46120</v>
      </c>
    </row>
    <row r="128" spans="1:7" ht="87" customHeight="1">
      <c r="A128" s="246">
        <v>126</v>
      </c>
      <c r="B128" s="248" t="s">
        <v>393</v>
      </c>
      <c r="C128" s="245" t="s">
        <v>394</v>
      </c>
      <c r="D128" s="248" t="s">
        <v>370</v>
      </c>
      <c r="E128" s="263" t="s">
        <v>395</v>
      </c>
      <c r="G128" s="266">
        <v>46121</v>
      </c>
    </row>
    <row r="129" spans="1:7" ht="157.5" customHeight="1">
      <c r="A129" s="246">
        <v>127</v>
      </c>
      <c r="B129" s="248" t="s">
        <v>396</v>
      </c>
      <c r="C129" s="245" t="s">
        <v>397</v>
      </c>
      <c r="D129" s="248" t="s">
        <v>370</v>
      </c>
      <c r="E129" s="263" t="s">
        <v>398</v>
      </c>
      <c r="G129" s="266">
        <v>46121</v>
      </c>
    </row>
    <row r="130" spans="1:7" ht="235.5" customHeight="1">
      <c r="A130" s="246">
        <v>128</v>
      </c>
      <c r="B130" s="248" t="s">
        <v>399</v>
      </c>
      <c r="C130" s="245" t="s">
        <v>400</v>
      </c>
      <c r="D130" s="248" t="s">
        <v>370</v>
      </c>
      <c r="E130" s="213" t="s">
        <v>401</v>
      </c>
    </row>
    <row r="131" spans="1:7" ht="356.25" customHeight="1">
      <c r="A131" s="246">
        <v>129</v>
      </c>
      <c r="B131" s="248" t="s">
        <v>402</v>
      </c>
      <c r="C131" s="245" t="s">
        <v>403</v>
      </c>
      <c r="D131" s="248" t="s">
        <v>81</v>
      </c>
      <c r="E131" s="263" t="s">
        <v>404</v>
      </c>
      <c r="G131" s="266">
        <v>46121</v>
      </c>
    </row>
    <row r="132" spans="1:7" ht="202.5">
      <c r="A132" s="246">
        <v>130</v>
      </c>
      <c r="B132" s="248" t="s">
        <v>405</v>
      </c>
      <c r="C132" s="245" t="s">
        <v>406</v>
      </c>
      <c r="D132" s="248" t="s">
        <v>370</v>
      </c>
      <c r="E132" s="263" t="s">
        <v>407</v>
      </c>
      <c r="G132" s="266">
        <v>46122</v>
      </c>
    </row>
    <row r="133" spans="1:7">
      <c r="A133" s="246">
        <v>131</v>
      </c>
    </row>
    <row r="134" spans="1:7">
      <c r="A134" s="246">
        <v>132</v>
      </c>
    </row>
    <row r="135" spans="1:7">
      <c r="A135" s="246">
        <v>133</v>
      </c>
    </row>
    <row r="136" spans="1:7">
      <c r="A136" s="246">
        <v>134</v>
      </c>
    </row>
    <row r="137" spans="1:7">
      <c r="A137" s="246">
        <v>135</v>
      </c>
    </row>
    <row r="138" spans="1:7">
      <c r="A138" s="246">
        <v>136</v>
      </c>
    </row>
    <row r="139" spans="1:7">
      <c r="A139" s="246">
        <v>137</v>
      </c>
    </row>
    <row r="140" spans="1:7">
      <c r="A140" s="246">
        <v>138</v>
      </c>
    </row>
    <row r="141" spans="1:7">
      <c r="A141" s="246">
        <v>139</v>
      </c>
    </row>
    <row r="142" spans="1:7">
      <c r="A142" s="246">
        <v>140</v>
      </c>
    </row>
    <row r="143" spans="1:7">
      <c r="A143" s="246">
        <v>141</v>
      </c>
    </row>
    <row r="144" spans="1:7">
      <c r="A144" s="246">
        <v>142</v>
      </c>
    </row>
    <row r="145" spans="1:1">
      <c r="A145" s="246">
        <v>143</v>
      </c>
    </row>
    <row r="146" spans="1:1">
      <c r="A146" s="246">
        <v>144</v>
      </c>
    </row>
    <row r="147" spans="1:1">
      <c r="A147" s="246">
        <v>145</v>
      </c>
    </row>
    <row r="148" spans="1:1">
      <c r="A148" s="246">
        <v>146</v>
      </c>
    </row>
    <row r="149" spans="1:1">
      <c r="A149" s="246">
        <v>147</v>
      </c>
    </row>
    <row r="150" spans="1:1">
      <c r="A150" s="246">
        <v>148</v>
      </c>
    </row>
    <row r="151" spans="1:1">
      <c r="A151" s="246">
        <v>149</v>
      </c>
    </row>
    <row r="152" spans="1:1">
      <c r="A152" s="246">
        <v>150</v>
      </c>
    </row>
    <row r="153" spans="1:1">
      <c r="A153" s="246">
        <v>151</v>
      </c>
    </row>
    <row r="154" spans="1:1">
      <c r="A154" s="246">
        <v>152</v>
      </c>
    </row>
    <row r="155" spans="1:1">
      <c r="A155" s="246">
        <v>153</v>
      </c>
    </row>
    <row r="156" spans="1:1">
      <c r="A156" s="246">
        <v>154</v>
      </c>
    </row>
    <row r="157" spans="1:1">
      <c r="A157" s="246">
        <v>155</v>
      </c>
    </row>
    <row r="158" spans="1:1">
      <c r="A158" s="246">
        <v>156</v>
      </c>
    </row>
    <row r="159" spans="1:1">
      <c r="A159" s="246">
        <v>157</v>
      </c>
    </row>
    <row r="160" spans="1:1">
      <c r="A160" s="246">
        <v>158</v>
      </c>
    </row>
    <row r="161" spans="1:1">
      <c r="A161" s="246">
        <v>159</v>
      </c>
    </row>
    <row r="162" spans="1:1">
      <c r="A162" s="246">
        <v>160</v>
      </c>
    </row>
    <row r="163" spans="1:1">
      <c r="A163" s="246">
        <v>161</v>
      </c>
    </row>
    <row r="164" spans="1:1">
      <c r="A164" s="246">
        <v>162</v>
      </c>
    </row>
    <row r="165" spans="1:1">
      <c r="A165" s="246">
        <v>163</v>
      </c>
    </row>
    <row r="166" spans="1:1">
      <c r="A166" s="246">
        <v>164</v>
      </c>
    </row>
    <row r="167" spans="1:1">
      <c r="A167" s="246">
        <v>165</v>
      </c>
    </row>
    <row r="168" spans="1:1">
      <c r="A168" s="246">
        <v>166</v>
      </c>
    </row>
    <row r="169" spans="1:1">
      <c r="A169" s="246">
        <v>167</v>
      </c>
    </row>
    <row r="170" spans="1:1">
      <c r="A170" s="246">
        <v>168</v>
      </c>
    </row>
    <row r="171" spans="1:1">
      <c r="A171" s="246">
        <v>169</v>
      </c>
    </row>
    <row r="172" spans="1:1">
      <c r="A172" s="246">
        <v>170</v>
      </c>
    </row>
    <row r="173" spans="1:1">
      <c r="A173" s="246">
        <v>171</v>
      </c>
    </row>
    <row r="174" spans="1:1">
      <c r="A174" s="246">
        <v>172</v>
      </c>
    </row>
    <row r="175" spans="1:1">
      <c r="A175" s="246">
        <v>173</v>
      </c>
    </row>
    <row r="176" spans="1:1">
      <c r="A176" s="246">
        <v>174</v>
      </c>
    </row>
    <row r="177" spans="1:1">
      <c r="A177" s="246">
        <v>175</v>
      </c>
    </row>
    <row r="178" spans="1:1">
      <c r="A178" s="246">
        <v>176</v>
      </c>
    </row>
    <row r="179" spans="1:1">
      <c r="A179" s="246">
        <v>177</v>
      </c>
    </row>
    <row r="180" spans="1:1">
      <c r="A180" s="246">
        <v>178</v>
      </c>
    </row>
    <row r="181" spans="1:1">
      <c r="A181" s="246">
        <v>179</v>
      </c>
    </row>
    <row r="182" spans="1:1">
      <c r="A182" s="246">
        <v>180</v>
      </c>
    </row>
    <row r="183" spans="1:1">
      <c r="A183" s="246">
        <v>181</v>
      </c>
    </row>
    <row r="184" spans="1:1">
      <c r="A184" s="246">
        <v>182</v>
      </c>
    </row>
    <row r="185" spans="1:1">
      <c r="A185" s="246">
        <v>183</v>
      </c>
    </row>
    <row r="186" spans="1:1">
      <c r="A186" s="246">
        <v>184</v>
      </c>
    </row>
    <row r="187" spans="1:1">
      <c r="A187" s="246">
        <v>185</v>
      </c>
    </row>
    <row r="188" spans="1:1">
      <c r="A188" s="246">
        <v>186</v>
      </c>
    </row>
  </sheetData>
  <autoFilter ref="A1:G188" xr:uid="{B079B83C-849D-4D14-8457-9131F61C28FA}"/>
  <conditionalFormatting sqref="G1">
    <cfRule type="expression" dxfId="31" priority="10">
      <formula>AND($A1&lt;&gt;" ", $Z1="DONE")</formula>
    </cfRule>
  </conditionalFormatting>
  <conditionalFormatting sqref="B83">
    <cfRule type="duplicateValues" dxfId="30" priority="8"/>
  </conditionalFormatting>
  <conditionalFormatting sqref="B83">
    <cfRule type="duplicateValues" dxfId="29" priority="7"/>
  </conditionalFormatting>
  <conditionalFormatting sqref="B83">
    <cfRule type="expression" dxfId="28" priority="9">
      <formula>AND($A83&lt;&gt;" ", $Z83="DONE")</formula>
    </cfRule>
  </conditionalFormatting>
  <conditionalFormatting sqref="B93">
    <cfRule type="duplicateValues" dxfId="27" priority="5"/>
  </conditionalFormatting>
  <conditionalFormatting sqref="B93">
    <cfRule type="duplicateValues" dxfId="26" priority="4"/>
  </conditionalFormatting>
  <conditionalFormatting sqref="B93">
    <cfRule type="expression" dxfId="25" priority="6">
      <formula>AND($A93&lt;&gt;" ", $Z93="DONE")</formula>
    </cfRule>
  </conditionalFormatting>
  <conditionalFormatting sqref="B94">
    <cfRule type="duplicateValues" dxfId="24" priority="2"/>
  </conditionalFormatting>
  <conditionalFormatting sqref="B94">
    <cfRule type="duplicateValues" dxfId="23" priority="1"/>
  </conditionalFormatting>
  <conditionalFormatting sqref="B94">
    <cfRule type="expression" dxfId="22" priority="3">
      <formula>AND($A94&lt;&gt;" ", $Z94="DONE")</formula>
    </cfRule>
  </conditionalFormatting>
  <dataValidations count="1">
    <dataValidation type="list" allowBlank="1" showInputMessage="1" showErrorMessage="1" sqref="D1:D1048576" xr:uid="{6DA69051-21CF-4DDE-9C06-B84DA7125A7B}">
      <formula1>"Đang review 1, Chờ review 2, Đang review 2, Trả về review 1, Trả về review 2, Chờ phê duyệt, Đã phê duyệt"</formula1>
    </dataValidation>
  </dataValidations>
  <hyperlinks>
    <hyperlink ref="E2" r:id="rId1" xr:uid="{BD740631-D2FC-4D36-92FB-B637395E334E}"/>
    <hyperlink ref="E3" r:id="rId2" xr:uid="{B7261095-AA5A-4989-A395-BF67F2F122CE}"/>
    <hyperlink ref="E4" r:id="rId3" xr:uid="{D42FEF52-5FC4-4350-BFA9-D0F8930A6C64}"/>
    <hyperlink ref="E5" r:id="rId4" xr:uid="{E83061AC-6FB8-4FD3-ABD3-4340261E28DC}"/>
    <hyperlink ref="E6" r:id="rId5" xr:uid="{CD0D9C36-84EC-4D54-9BDF-A553DAD5D1B9}"/>
    <hyperlink ref="E7" r:id="rId6" xr:uid="{5F5A8A4C-F573-4679-AC79-567C6D03DBDF}"/>
    <hyperlink ref="E8" r:id="rId7" xr:uid="{D275F9EE-87BF-4679-BF3F-A5565496304D}"/>
    <hyperlink ref="E9" r:id="rId8" xr:uid="{C4C66DF1-4201-4240-8A9F-C27F2595B616}"/>
    <hyperlink ref="E10" r:id="rId9" xr:uid="{6E250E68-B2CC-4E3A-B9FE-143669B856F6}"/>
    <hyperlink ref="E13" r:id="rId10" xr:uid="{6F605530-ED23-4FA2-A631-EFF3E073D678}"/>
    <hyperlink ref="E12" r:id="rId11" xr:uid="{AC1B2708-CD0C-4820-9E19-C3973F53DAF9}"/>
    <hyperlink ref="E11" r:id="rId12" xr:uid="{75AF5A8E-1FEA-4D9E-95F0-628CA297CBB8}"/>
    <hyperlink ref="E14" r:id="rId13" xr:uid="{B2E2284A-9DF3-4172-AF3D-C84CBC84308C}"/>
    <hyperlink ref="E15" r:id="rId14" xr:uid="{4CAAD96E-5E96-42A0-8688-60F1202A67D9}"/>
    <hyperlink ref="E16" r:id="rId15" xr:uid="{33CF65CD-EA8A-4B3F-A88D-811631C8675D}"/>
    <hyperlink ref="E17" r:id="rId16" xr:uid="{2F162C38-5E44-4878-B1F6-A08647D9D45C}"/>
    <hyperlink ref="E18" r:id="rId17" xr:uid="{C0919293-05A2-4889-B08C-1E3551B03741}"/>
    <hyperlink ref="E19" r:id="rId18" xr:uid="{6120C3C8-5C4B-494F-8523-99551F8A1B60}"/>
    <hyperlink ref="E20" r:id="rId19" xr:uid="{51C4EDDE-07E8-4A97-A7E9-19538774D7E9}"/>
    <hyperlink ref="E21" r:id="rId20" xr:uid="{5194A908-8F7E-4EFE-8EEE-59CABE6BCA5A}"/>
    <hyperlink ref="E22" r:id="rId21" xr:uid="{C71AA97E-F295-41A8-BC19-9AA88769AE7F}"/>
    <hyperlink ref="E23" r:id="rId22" xr:uid="{A19391E1-4136-4018-BEC2-AE38D5E3B3EE}"/>
    <hyperlink ref="E24" r:id="rId23" xr:uid="{FF5E2224-56A9-4712-A2E1-D6C5CF3AA97D}"/>
    <hyperlink ref="E26" r:id="rId24" xr:uid="{06161E0C-D4AF-4B03-A653-FD6C310AF52C}"/>
    <hyperlink ref="E27" r:id="rId25" xr:uid="{7959C952-36F1-40BB-ACE9-7CE2807A1123}"/>
    <hyperlink ref="E28" r:id="rId26" xr:uid="{E8B4EB71-FF0A-4035-A434-3E992B8065C1}"/>
    <hyperlink ref="E25" r:id="rId27" xr:uid="{F9B0D17D-0453-46E8-A622-41BCA0B46BC0}"/>
    <hyperlink ref="E29" r:id="rId28" xr:uid="{DC1107E7-74F3-4403-A716-5A7A05699ECC}"/>
    <hyperlink ref="E30" r:id="rId29" xr:uid="{509F2727-A5D0-4F13-8288-EA250FEED378}"/>
    <hyperlink ref="E31" r:id="rId30" xr:uid="{F752798A-29DF-4921-BF9D-BCB940492FA4}"/>
    <hyperlink ref="E32" r:id="rId31" xr:uid="{602DE32F-53B5-4284-A62C-BB0C3704A4A8}"/>
    <hyperlink ref="E33" r:id="rId32" xr:uid="{B4C32FD6-2C8B-403B-A3BF-8B48CB501FC6}"/>
    <hyperlink ref="E34" r:id="rId33" xr:uid="{7C05D194-F626-4FC7-BDEB-FFC10D4F8489}"/>
    <hyperlink ref="E35" r:id="rId34" xr:uid="{FE3BA47B-AD04-4002-941A-16C9852B09F2}"/>
    <hyperlink ref="E36" r:id="rId35" xr:uid="{D17DB074-69C3-4021-99C6-47697D20B0E1}"/>
    <hyperlink ref="E37" r:id="rId36" xr:uid="{694D391E-7202-480B-B4EE-261238092C14}"/>
    <hyperlink ref="E38" r:id="rId37" xr:uid="{457EFF34-E4C2-4861-B4DC-40075BBBE84A}"/>
    <hyperlink ref="E39" r:id="rId38" xr:uid="{60FB5FCA-9BC2-41A5-ABCA-817CEF4B52DC}"/>
    <hyperlink ref="E40" r:id="rId39" xr:uid="{B98F119A-79C9-4CD2-B8B5-B41D6377D5A2}"/>
    <hyperlink ref="E41" r:id="rId40" xr:uid="{61FD1270-570C-4CB7-ABBB-950F2237F009}"/>
    <hyperlink ref="E42" r:id="rId41" xr:uid="{093462A9-C303-476B-859F-C9EF08EC5CAE}"/>
    <hyperlink ref="E43" r:id="rId42" xr:uid="{64C8A28C-FE05-401D-9D81-F2BD458FA040}"/>
    <hyperlink ref="E44" r:id="rId43" xr:uid="{AD151943-2EF2-4CEE-A461-42CF3BA10E5A}"/>
    <hyperlink ref="E45" r:id="rId44" xr:uid="{AAAC16AF-2717-46EC-999E-DCF763402A5E}"/>
    <hyperlink ref="E46" r:id="rId45" xr:uid="{8B609CF4-1F34-4D1A-BBCC-C9AF82041D86}"/>
    <hyperlink ref="E47" r:id="rId46" xr:uid="{E29C0B06-375B-44CA-A2D0-CE946BC3F0CB}"/>
    <hyperlink ref="E48" r:id="rId47" xr:uid="{2CBD9323-E232-4C54-B771-CA0B67ED0320}"/>
    <hyperlink ref="E49" r:id="rId48" xr:uid="{B2638AAA-9DBA-4BFB-B4C4-004747534D18}"/>
    <hyperlink ref="E50" r:id="rId49" xr:uid="{32EE47B6-2BF5-42CA-BE0E-E52417D40A71}"/>
    <hyperlink ref="E51" r:id="rId50" xr:uid="{3A4AC337-E914-4A2C-8752-E880601C96A6}"/>
    <hyperlink ref="E53" r:id="rId51" xr:uid="{56F53E93-F5BF-4376-9F79-6D2DE218A90B}"/>
    <hyperlink ref="E54" r:id="rId52" xr:uid="{40148EFC-A217-4AD5-A75C-775E4972EB61}"/>
    <hyperlink ref="E52" r:id="rId53" xr:uid="{7C98882F-6235-414C-A615-B46E8BE78568}"/>
    <hyperlink ref="E55" r:id="rId54" xr:uid="{ED9E7460-A9B5-43DD-9877-50AB8D60EE51}"/>
    <hyperlink ref="E56" r:id="rId55" xr:uid="{733D1C16-763C-4F48-83E0-0BB0F78771B3}"/>
    <hyperlink ref="E57" r:id="rId56" xr:uid="{EE328984-8563-4D1F-A9F3-9B256B569FBB}"/>
    <hyperlink ref="E58" r:id="rId57" xr:uid="{4617FFE6-8AC2-42C5-B092-03055442AE20}"/>
    <hyperlink ref="E59" r:id="rId58" xr:uid="{259FD092-8943-4F8A-B0F7-585076D0BDF4}"/>
    <hyperlink ref="E60" r:id="rId59" xr:uid="{57E09EEC-5492-4FAA-B6D3-9D7C3A1F36BB}"/>
    <hyperlink ref="E61" r:id="rId60" xr:uid="{215D927F-08F8-404C-B3DC-CA7B2BAB3A28}"/>
    <hyperlink ref="E62" r:id="rId61" xr:uid="{77FFED0A-E1DD-4DC3-91C2-EFD178A6B0E3}"/>
    <hyperlink ref="E63" r:id="rId62" xr:uid="{07464D36-37C4-4D7E-8049-EFE9CB752440}"/>
    <hyperlink ref="E64" r:id="rId63" xr:uid="{DC09A358-CD7F-445E-BF88-A92498E88416}"/>
    <hyperlink ref="E65" r:id="rId64" xr:uid="{A1129413-CA8E-4ABC-B6E5-6D006BBF980F}"/>
    <hyperlink ref="E66" r:id="rId65" xr:uid="{2C2902D2-0340-4218-AB55-79CEF90ED190}"/>
    <hyperlink ref="E67" r:id="rId66" xr:uid="{ACEE2C03-E3CB-48DB-9B72-B5435C80674B}"/>
    <hyperlink ref="E68" r:id="rId67" xr:uid="{00725694-1EA6-46F9-BB76-659D4A703D22}"/>
    <hyperlink ref="E69" r:id="rId68" xr:uid="{6BAAB907-A858-4489-8503-6C117A828A58}"/>
    <hyperlink ref="E70" r:id="rId69" xr:uid="{04C66964-E7DA-4791-9F0E-C1FE3C997031}"/>
    <hyperlink ref="E71" r:id="rId70" xr:uid="{FACDCEFE-9065-4496-BB12-FA3D0919B08F}"/>
    <hyperlink ref="E72" r:id="rId71" xr:uid="{41274A1F-E258-483D-A004-6C1F5CCA173F}"/>
    <hyperlink ref="E73" r:id="rId72" xr:uid="{54D3F8EA-E10F-42B7-B5E7-747D91FC05D0}"/>
    <hyperlink ref="E74" r:id="rId73" xr:uid="{83E37D09-957A-4BAE-921D-A0F9F56D42E0}"/>
    <hyperlink ref="E75" r:id="rId74" xr:uid="{869C8776-1B18-436B-A792-D5D53F095BD6}"/>
    <hyperlink ref="E76" r:id="rId75" xr:uid="{BB05AE1A-B919-497F-8AC5-CF436A76D5EE}"/>
    <hyperlink ref="E77" r:id="rId76" xr:uid="{AE5828DA-60D9-417B-B49F-CC1F270DF5A3}"/>
    <hyperlink ref="E78" r:id="rId77" xr:uid="{DA72ADDF-3321-4749-8601-9BA57BAD2049}"/>
    <hyperlink ref="E79" r:id="rId78" xr:uid="{DA807140-2C96-4C68-A03B-4D36803D6B6F}"/>
    <hyperlink ref="E80" r:id="rId79" xr:uid="{380BF63A-12C4-4B91-9FC1-38B1C8C28B6E}"/>
    <hyperlink ref="E81" r:id="rId80" xr:uid="{61F417B2-05D5-4106-8C93-8A69C51384C2}"/>
    <hyperlink ref="E82" r:id="rId81" xr:uid="{9D4C3F1A-16AE-4AE6-807E-4EAD3A4EF6E1}"/>
    <hyperlink ref="E83" r:id="rId82" xr:uid="{B5E4DA2F-4DD4-4DE2-8593-52E012D795AE}"/>
    <hyperlink ref="E84" r:id="rId83" xr:uid="{619EC534-BD04-4929-B699-1212862EAE3C}"/>
    <hyperlink ref="E85" r:id="rId84" xr:uid="{5DA7A5A7-4CFE-4347-98D8-2B8E299A88BD}"/>
    <hyperlink ref="E86" r:id="rId85" xr:uid="{85AE593A-48B6-4F7D-B6F6-BB5A228A9657}"/>
    <hyperlink ref="E87" r:id="rId86" xr:uid="{9A8092D5-16DF-4591-A560-450291231BE3}"/>
    <hyperlink ref="E88" r:id="rId87" xr:uid="{2FC3FC41-4E86-4302-B17E-92E75BEF1EC6}"/>
    <hyperlink ref="E89" r:id="rId88" xr:uid="{19A0BF9A-7F3D-4C69-AE56-31ACED391139}"/>
    <hyperlink ref="E90" r:id="rId89" xr:uid="{E195813E-63E8-4F44-9CC4-FC3A43E88908}"/>
    <hyperlink ref="E91" r:id="rId90" xr:uid="{A0652991-C6CC-4B69-89D9-19C323FDF981}"/>
    <hyperlink ref="E92" r:id="rId91" xr:uid="{332669EB-17D2-4CD8-8124-2116231CA9FF}"/>
    <hyperlink ref="E93" r:id="rId92" xr:uid="{7BFA888C-29D7-4006-B609-B9107AC42E68}"/>
    <hyperlink ref="E94" r:id="rId93" xr:uid="{7892C0F5-AAEC-4EC3-AE28-444741E0FB84}"/>
    <hyperlink ref="E95" r:id="rId94" xr:uid="{59452AAD-887F-4334-9301-8F0D62A06EF2}"/>
    <hyperlink ref="E96" r:id="rId95" xr:uid="{C2341D7E-B887-49E2-914B-F7F16033608F}"/>
    <hyperlink ref="E97" r:id="rId96" xr:uid="{A843BA83-4B47-4D4A-96B8-9ADC5E4DDF97}"/>
    <hyperlink ref="E98" r:id="rId97" xr:uid="{63E21D3D-C3E5-4F9A-A3F3-7A3FDAAA6DDD}"/>
    <hyperlink ref="E99" r:id="rId98" xr:uid="{AF5323A2-E5BE-4F6E-B448-257E2A820497}"/>
    <hyperlink ref="E100" r:id="rId99" xr:uid="{24299C1F-347A-4429-B7A5-3E8A6724B6B6}"/>
    <hyperlink ref="E101" r:id="rId100" xr:uid="{C901079A-F402-4503-95A1-B4860AB14314}"/>
    <hyperlink ref="E102" r:id="rId101" xr:uid="{B6C372F9-0E7A-44FA-AB23-C3DD57FA0885}"/>
    <hyperlink ref="E103" r:id="rId102" xr:uid="{39B4DB58-8E4A-4F70-9527-D2E7A231459F}"/>
    <hyperlink ref="E104" r:id="rId103" xr:uid="{54E4DC03-A439-4A27-A46B-08ED5EEECC10}"/>
    <hyperlink ref="E105" r:id="rId104" xr:uid="{58CA01F9-A3E1-4B3E-8829-F7C433A73776}"/>
    <hyperlink ref="E106" r:id="rId105" xr:uid="{6C46F12C-F017-4FB5-935E-E7FD0DE13A63}"/>
    <hyperlink ref="E107" r:id="rId106" xr:uid="{8BE52C28-7CE6-44FD-A0B8-34C12087692E}"/>
    <hyperlink ref="E108" r:id="rId107" xr:uid="{3B876DB2-0086-43EE-A459-DFBD5A130004}"/>
    <hyperlink ref="E109" r:id="rId108" xr:uid="{7A61D877-72D3-4B1D-ACF3-631A2AEC54B5}"/>
    <hyperlink ref="E110" r:id="rId109" xr:uid="{87328E67-E53E-46D3-AC20-29C1B0F1F32D}"/>
    <hyperlink ref="E111" r:id="rId110" xr:uid="{B012021C-94D8-4C8E-AE55-344EDC5034A7}"/>
    <hyperlink ref="E112" r:id="rId111" xr:uid="{BA9EBC68-88C7-4B68-A3AE-8379107D84DA}"/>
    <hyperlink ref="E113" r:id="rId112" xr:uid="{303B66E5-BDEE-409C-B9BC-4F72ED06D53A}"/>
    <hyperlink ref="E114" r:id="rId113" xr:uid="{C274213E-3819-4DCB-B781-42A66C8E9C0A}"/>
    <hyperlink ref="E115" r:id="rId114" xr:uid="{19EFECDF-E301-49D2-B193-4B113F80A239}"/>
    <hyperlink ref="E116" r:id="rId115" xr:uid="{BB7FF58E-206C-4D5F-BE4F-0E2B2E8749CE}"/>
    <hyperlink ref="E117" r:id="rId116" xr:uid="{7D898DBD-DD42-4043-8EE4-00B8C4BE5C1B}"/>
    <hyperlink ref="E118" r:id="rId117" xr:uid="{E17A56AD-42ED-4BE0-90F9-10739474A7EC}"/>
    <hyperlink ref="E119" r:id="rId118" xr:uid="{35BEAB93-97DE-438D-9D30-A41F85C05AEA}"/>
    <hyperlink ref="E120" r:id="rId119" xr:uid="{A6D4FCA6-7EAC-4DC1-B2E6-5E5318CB347E}"/>
    <hyperlink ref="E121" r:id="rId120" xr:uid="{C35DA929-9329-4A89-BDBF-DF13E41865FC}"/>
    <hyperlink ref="E122" r:id="rId121" xr:uid="{C8DC282E-DA33-427F-98BD-C521E4EF9358}"/>
    <hyperlink ref="E123" r:id="rId122" xr:uid="{904ECBBC-4ED1-4B66-BAF2-0F4B929BA884}"/>
    <hyperlink ref="E124" r:id="rId123" xr:uid="{BE912EE4-C4BF-4927-AE4B-9AF426327E1C}"/>
    <hyperlink ref="E126" r:id="rId124" xr:uid="{E38C3716-CA3D-44FB-B1FB-AF509F73E6CE}"/>
    <hyperlink ref="E127" r:id="rId125" xr:uid="{E69718E6-AC5A-4F4A-A490-B8E7CFA6B599}"/>
    <hyperlink ref="E125" r:id="rId126" xr:uid="{0AC9A0DF-6A63-472E-A9E2-E9E9610A73F6}"/>
    <hyperlink ref="E128" r:id="rId127" xr:uid="{780706B9-AB08-413A-B939-B4EBC35B7618}"/>
    <hyperlink ref="E129" r:id="rId128" xr:uid="{66DF72F2-1EE2-461A-9CA3-AD5327FBFF35}"/>
    <hyperlink ref="E130" r:id="rId129" xr:uid="{825F4C70-0513-4F10-BD2A-484CD83BE3A6}"/>
    <hyperlink ref="E131" r:id="rId130" xr:uid="{A75C9366-CCE3-4DCE-BD00-D675F0832F5D}"/>
    <hyperlink ref="E132" r:id="rId131" xr:uid="{E52CF0B1-85DD-42BE-9456-17E2A2BBBAD7}"/>
  </hyperlinks>
  <pageMargins left="0.7" right="0.7" top="0.75" bottom="0.75" header="0.3" footer="0.3"/>
  <legacyDrawing r:id="rId13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Q763"/>
  <sheetViews>
    <sheetView workbookViewId="0">
      <pane xSplit="5" ySplit="3" topLeftCell="L523" activePane="bottomRight" state="frozen"/>
      <selection pane="bottomRight" activeCell="AA520" sqref="AA520"/>
      <selection pane="bottomLeft"/>
      <selection pane="topRight"/>
    </sheetView>
  </sheetViews>
  <sheetFormatPr defaultRowHeight="15" customHeight="1"/>
  <cols>
    <col min="1" max="1" width="20.42578125" style="26" customWidth="1"/>
    <col min="2" max="2" width="17.42578125" style="27" customWidth="1"/>
    <col min="3" max="3" width="8" style="28" customWidth="1"/>
    <col min="4" max="4" width="8" style="292" customWidth="1"/>
    <col min="5" max="5" width="25.85546875" style="26" customWidth="1"/>
    <col min="6" max="6" width="9.140625" style="28" customWidth="1"/>
    <col min="7" max="7" width="20" style="272" bestFit="1" customWidth="1"/>
    <col min="8" max="8" width="12.7109375" style="29" customWidth="1"/>
    <col min="9" max="9" width="19.85546875" style="272" bestFit="1" customWidth="1"/>
    <col min="10" max="10" width="10.140625" style="30" customWidth="1"/>
    <col min="11" max="11" width="23.42578125" style="216" customWidth="1"/>
    <col min="12" max="12" width="10.42578125" style="30" customWidth="1"/>
    <col min="13" max="13" width="9.140625" style="30" customWidth="1"/>
    <col min="14" max="14" width="9.7109375" style="30" customWidth="1"/>
    <col min="15" max="15" width="14.140625" style="30" hidden="1" customWidth="1"/>
    <col min="16" max="16" width="12.140625" style="29" hidden="1" customWidth="1"/>
    <col min="17" max="17" width="11.85546875" style="29" hidden="1" customWidth="1"/>
    <col min="18" max="18" width="14.140625" style="29" hidden="1" customWidth="1"/>
    <col min="19" max="19" width="11.85546875" style="27" hidden="1" customWidth="1"/>
    <col min="20" max="20" width="11.7109375" style="28" hidden="1" customWidth="1"/>
    <col min="21" max="21" width="15" style="28" hidden="1" customWidth="1"/>
    <col min="22" max="22" width="11.42578125" style="28" hidden="1" customWidth="1"/>
    <col min="23" max="23" width="10.28515625" style="28" hidden="1" customWidth="1"/>
    <col min="24" max="24" width="12.7109375" style="28" hidden="1" customWidth="1"/>
    <col min="25" max="25" width="0.42578125" hidden="1" customWidth="1"/>
    <col min="26" max="26" width="9.140625" style="57" customWidth="1"/>
    <col min="27" max="28" width="14.7109375" customWidth="1"/>
    <col min="29" max="29" width="20.140625" style="125" customWidth="1"/>
    <col min="30" max="30" width="65.140625" style="124" customWidth="1"/>
    <col min="31" max="31" width="33.5703125" bestFit="1" customWidth="1"/>
    <col min="32" max="33" width="9.140625" customWidth="1"/>
    <col min="34" max="34" width="19.28515625" customWidth="1"/>
    <col min="35" max="35" width="9.140625" customWidth="1"/>
  </cols>
  <sheetData>
    <row r="1" spans="1:34" s="87" customFormat="1" ht="81">
      <c r="A1" s="83" t="s">
        <v>408</v>
      </c>
      <c r="B1" s="83" t="s">
        <v>409</v>
      </c>
      <c r="C1" s="242" t="s">
        <v>410</v>
      </c>
      <c r="D1" s="280" t="s">
        <v>411</v>
      </c>
      <c r="E1" s="242" t="s">
        <v>412</v>
      </c>
      <c r="F1" s="83" t="s">
        <v>413</v>
      </c>
      <c r="G1" s="269" t="s">
        <v>414</v>
      </c>
      <c r="H1" s="269" t="s">
        <v>415</v>
      </c>
      <c r="I1" s="269" t="s">
        <v>416</v>
      </c>
      <c r="J1" s="84" t="s">
        <v>417</v>
      </c>
      <c r="K1" s="84" t="s">
        <v>6</v>
      </c>
      <c r="L1" s="84" t="s">
        <v>418</v>
      </c>
      <c r="M1" s="84" t="s">
        <v>419</v>
      </c>
      <c r="N1" s="84" t="s">
        <v>420</v>
      </c>
      <c r="O1" s="84" t="s">
        <v>421</v>
      </c>
      <c r="P1" s="85" t="s">
        <v>422</v>
      </c>
      <c r="Q1" s="85" t="s">
        <v>423</v>
      </c>
      <c r="R1" s="85" t="s">
        <v>413</v>
      </c>
      <c r="S1" s="83" t="s">
        <v>424</v>
      </c>
      <c r="T1" s="83" t="s">
        <v>425</v>
      </c>
      <c r="U1" s="83" t="s">
        <v>426</v>
      </c>
      <c r="V1" s="83" t="s">
        <v>427</v>
      </c>
      <c r="W1" s="83" t="s">
        <v>428</v>
      </c>
      <c r="X1" s="83" t="s">
        <v>429</v>
      </c>
      <c r="Y1" s="86" t="s">
        <v>430</v>
      </c>
      <c r="Z1" s="86" t="s">
        <v>431</v>
      </c>
      <c r="AA1" s="83" t="s">
        <v>432</v>
      </c>
      <c r="AB1" s="83" t="s">
        <v>433</v>
      </c>
      <c r="AC1" s="83" t="s">
        <v>430</v>
      </c>
      <c r="AD1" s="126" t="s">
        <v>434</v>
      </c>
      <c r="AE1" s="126" t="s">
        <v>434</v>
      </c>
      <c r="AF1" s="83"/>
      <c r="AG1" s="83"/>
      <c r="AH1" s="83"/>
    </row>
    <row r="2" spans="1:34" s="14" customFormat="1" ht="23.25">
      <c r="A2" s="8" t="s">
        <v>435</v>
      </c>
      <c r="B2" s="5" t="s">
        <v>436</v>
      </c>
      <c r="C2" s="238">
        <f>SUMIF(A4:A99998,"&lt;&gt;",C4:C99998)</f>
        <v>47218</v>
      </c>
      <c r="D2" s="281" t="s">
        <v>436</v>
      </c>
      <c r="E2" s="243" t="s">
        <v>436</v>
      </c>
      <c r="F2" s="5" t="s">
        <v>436</v>
      </c>
      <c r="G2" s="189" t="s">
        <v>436</v>
      </c>
      <c r="H2" s="40">
        <f>SUM(H4:H1048559)</f>
        <v>47202</v>
      </c>
      <c r="I2" s="189" t="s">
        <v>436</v>
      </c>
      <c r="J2" s="40">
        <f>SUMIF(J4:J99998,"&lt;&gt;",H4:H99998)</f>
        <v>46752</v>
      </c>
      <c r="K2" s="189" t="s">
        <v>436</v>
      </c>
      <c r="L2" s="40">
        <f>SUMIF(L4:L99998,"&lt;&gt;",H4:H99998)</f>
        <v>46572</v>
      </c>
      <c r="M2" s="40">
        <f>SUM(M4:M1048559)</f>
        <v>44386</v>
      </c>
      <c r="N2" s="40">
        <f>SUM(N4:N1048559)</f>
        <v>581</v>
      </c>
      <c r="O2" s="192">
        <f>SUM(O4:O1048559)</f>
        <v>6701</v>
      </c>
      <c r="P2" s="6"/>
      <c r="Q2" s="2">
        <f>COUNTIF(Q4:Q1048576,"Done")</f>
        <v>9</v>
      </c>
      <c r="R2" s="2" t="s">
        <v>436</v>
      </c>
      <c r="S2" s="5" t="s">
        <v>436</v>
      </c>
      <c r="T2" s="5" t="s">
        <v>436</v>
      </c>
      <c r="U2" s="5"/>
      <c r="V2" s="5"/>
      <c r="W2" s="5" t="s">
        <v>436</v>
      </c>
      <c r="X2" s="11">
        <f>SUM(X4:X1048576)</f>
        <v>2069</v>
      </c>
      <c r="Y2" s="17"/>
      <c r="Z2" s="186">
        <f>SUM(M2:N2)</f>
        <v>44967</v>
      </c>
      <c r="AA2" s="17"/>
      <c r="AB2" s="17"/>
      <c r="AC2" s="8"/>
      <c r="AD2" s="4"/>
      <c r="AE2" s="4"/>
      <c r="AF2" s="13" t="s">
        <v>437</v>
      </c>
      <c r="AG2" s="12"/>
      <c r="AH2" s="15"/>
    </row>
    <row r="3" spans="1:34" s="10" customFormat="1" ht="30.75">
      <c r="A3" s="9" t="s">
        <v>438</v>
      </c>
      <c r="B3" s="7" t="s">
        <v>436</v>
      </c>
      <c r="C3" s="241"/>
      <c r="D3" s="282" t="s">
        <v>436</v>
      </c>
      <c r="E3" s="241" t="s">
        <v>436</v>
      </c>
      <c r="F3" s="7" t="s">
        <v>436</v>
      </c>
      <c r="G3" s="190" t="s">
        <v>436</v>
      </c>
      <c r="H3" s="37">
        <f>C2-H2</f>
        <v>16</v>
      </c>
      <c r="I3" s="190" t="s">
        <v>436</v>
      </c>
      <c r="J3" s="191">
        <f>C2-J2</f>
        <v>466</v>
      </c>
      <c r="K3" s="190" t="s">
        <v>436</v>
      </c>
      <c r="L3" s="191">
        <f>C2-L2</f>
        <v>646</v>
      </c>
      <c r="M3" s="37"/>
      <c r="N3" s="37"/>
      <c r="O3" s="43">
        <f>C2-O2</f>
        <v>40517</v>
      </c>
      <c r="P3" s="3"/>
      <c r="Q3" s="3" t="s">
        <v>436</v>
      </c>
      <c r="R3" s="3" t="s">
        <v>436</v>
      </c>
      <c r="S3" s="7" t="s">
        <v>436</v>
      </c>
      <c r="T3" s="7" t="s">
        <v>436</v>
      </c>
      <c r="U3" s="7"/>
      <c r="V3" s="7"/>
      <c r="W3" s="7" t="s">
        <v>436</v>
      </c>
      <c r="X3" s="7" t="s">
        <v>436</v>
      </c>
      <c r="Y3" s="18"/>
      <c r="Z3" s="187">
        <f>C2-Z2</f>
        <v>2251</v>
      </c>
      <c r="AA3" s="88"/>
      <c r="AB3" s="88"/>
      <c r="AC3" s="7"/>
      <c r="AD3" s="127"/>
      <c r="AE3" s="127"/>
      <c r="AF3" s="7"/>
      <c r="AG3" s="7"/>
      <c r="AH3" s="7"/>
    </row>
    <row r="4" spans="1:34">
      <c r="A4" s="16">
        <v>20</v>
      </c>
      <c r="B4" s="230">
        <v>45735</v>
      </c>
      <c r="C4" s="239">
        <v>91</v>
      </c>
      <c r="D4" s="283"/>
      <c r="E4" s="235"/>
      <c r="F4" s="20" t="s">
        <v>436</v>
      </c>
      <c r="G4" s="188" t="s">
        <v>436</v>
      </c>
      <c r="H4" s="75">
        <v>91</v>
      </c>
      <c r="I4" s="188" t="s">
        <v>436</v>
      </c>
      <c r="J4" s="91" t="s">
        <v>436</v>
      </c>
      <c r="K4" s="188" t="s">
        <v>436</v>
      </c>
      <c r="L4" s="91" t="s">
        <v>436</v>
      </c>
      <c r="M4" s="75">
        <v>91</v>
      </c>
      <c r="N4" s="75" t="str">
        <f>IF(M4=C4,"-","")</f>
        <v>-</v>
      </c>
      <c r="O4" s="75">
        <v>91</v>
      </c>
      <c r="P4" s="21">
        <v>250321</v>
      </c>
      <c r="Q4" s="21" t="s">
        <v>431</v>
      </c>
      <c r="R4" s="21" t="s">
        <v>439</v>
      </c>
      <c r="S4" s="19"/>
      <c r="T4" s="20" t="s">
        <v>440</v>
      </c>
      <c r="U4" s="20">
        <v>250321</v>
      </c>
      <c r="V4" s="20">
        <v>91</v>
      </c>
      <c r="W4" s="20" t="s">
        <v>431</v>
      </c>
      <c r="X4" s="20">
        <v>91</v>
      </c>
      <c r="Y4" s="1"/>
      <c r="Z4" s="82" t="str">
        <f>IF(SUM(M4,N4)=C4,"DONE"," ")</f>
        <v>DONE</v>
      </c>
      <c r="AA4" s="1"/>
      <c r="AB4" s="1"/>
      <c r="AC4" s="1" t="s">
        <v>441</v>
      </c>
      <c r="AD4" s="139"/>
      <c r="AE4" s="128"/>
      <c r="AF4" s="1"/>
      <c r="AG4" s="1"/>
      <c r="AH4" s="1"/>
    </row>
    <row r="5" spans="1:34">
      <c r="A5" s="16">
        <v>21</v>
      </c>
      <c r="B5" s="230">
        <v>45745</v>
      </c>
      <c r="C5" s="239">
        <v>92</v>
      </c>
      <c r="D5" s="283"/>
      <c r="E5" s="235"/>
      <c r="F5" s="20" t="s">
        <v>436</v>
      </c>
      <c r="G5" s="188" t="s">
        <v>436</v>
      </c>
      <c r="H5" s="75">
        <v>92</v>
      </c>
      <c r="I5" s="188" t="s">
        <v>436</v>
      </c>
      <c r="J5" s="91" t="s">
        <v>436</v>
      </c>
      <c r="K5" s="188" t="s">
        <v>436</v>
      </c>
      <c r="L5" s="91" t="s">
        <v>436</v>
      </c>
      <c r="M5" s="75">
        <v>88</v>
      </c>
      <c r="N5" s="75">
        <v>4</v>
      </c>
      <c r="O5" s="75">
        <v>88</v>
      </c>
      <c r="P5" s="21">
        <v>250401</v>
      </c>
      <c r="Q5" s="21"/>
      <c r="R5" s="21" t="s">
        <v>439</v>
      </c>
      <c r="S5" s="19"/>
      <c r="T5" s="20" t="s">
        <v>440</v>
      </c>
      <c r="U5" s="20">
        <v>250402</v>
      </c>
      <c r="V5" s="20">
        <v>88</v>
      </c>
      <c r="W5" s="20" t="s">
        <v>431</v>
      </c>
      <c r="X5" s="20">
        <v>88</v>
      </c>
      <c r="Y5" s="1" t="s">
        <v>442</v>
      </c>
      <c r="Z5" s="82" t="str">
        <f>IF(SUM(M5,N5)=C5,"DONE"," ")</f>
        <v>DONE</v>
      </c>
      <c r="AA5" s="102">
        <v>45848</v>
      </c>
      <c r="AB5" s="1"/>
      <c r="AC5" s="1" t="s">
        <v>443</v>
      </c>
      <c r="AD5" s="139"/>
      <c r="AE5" s="128"/>
      <c r="AF5" s="1"/>
      <c r="AG5" s="1"/>
      <c r="AH5" s="1"/>
    </row>
    <row r="6" spans="1:34">
      <c r="A6" s="16">
        <v>22</v>
      </c>
      <c r="B6" s="230">
        <v>45749</v>
      </c>
      <c r="C6" s="239">
        <v>92</v>
      </c>
      <c r="D6" s="283"/>
      <c r="E6" s="235"/>
      <c r="F6" s="20" t="s">
        <v>436</v>
      </c>
      <c r="G6" s="188" t="s">
        <v>436</v>
      </c>
      <c r="H6" s="75">
        <v>92</v>
      </c>
      <c r="I6" s="188" t="s">
        <v>436</v>
      </c>
      <c r="J6" s="91" t="s">
        <v>436</v>
      </c>
      <c r="K6" s="188" t="s">
        <v>436</v>
      </c>
      <c r="L6" s="91" t="s">
        <v>436</v>
      </c>
      <c r="M6" s="75">
        <v>86</v>
      </c>
      <c r="N6" s="75">
        <v>4</v>
      </c>
      <c r="O6" s="75">
        <v>86</v>
      </c>
      <c r="P6" s="21">
        <v>250404</v>
      </c>
      <c r="Q6" s="21"/>
      <c r="R6" s="21" t="s">
        <v>439</v>
      </c>
      <c r="S6" s="19"/>
      <c r="T6" s="20" t="s">
        <v>440</v>
      </c>
      <c r="U6" s="20">
        <v>250404</v>
      </c>
      <c r="V6" s="20">
        <v>86</v>
      </c>
      <c r="W6" s="20" t="s">
        <v>431</v>
      </c>
      <c r="X6" s="20">
        <v>86</v>
      </c>
      <c r="Y6" s="1" t="s">
        <v>444</v>
      </c>
      <c r="Z6" s="82" t="s">
        <v>445</v>
      </c>
      <c r="AA6" s="102">
        <v>45848</v>
      </c>
      <c r="AB6" s="1"/>
      <c r="AC6" s="1" t="s">
        <v>446</v>
      </c>
      <c r="AD6" s="139"/>
      <c r="AE6" s="128"/>
      <c r="AF6" s="1"/>
      <c r="AG6" s="1"/>
      <c r="AH6" s="1"/>
    </row>
    <row r="7" spans="1:34">
      <c r="A7" s="16">
        <v>23</v>
      </c>
      <c r="B7" s="230">
        <v>45751</v>
      </c>
      <c r="C7" s="239">
        <v>92</v>
      </c>
      <c r="D7" s="283"/>
      <c r="E7" s="235"/>
      <c r="F7" s="20" t="s">
        <v>436</v>
      </c>
      <c r="G7" s="188" t="s">
        <v>436</v>
      </c>
      <c r="H7" s="75">
        <v>92</v>
      </c>
      <c r="I7" s="188" t="s">
        <v>436</v>
      </c>
      <c r="J7" s="91" t="s">
        <v>436</v>
      </c>
      <c r="K7" s="188" t="s">
        <v>436</v>
      </c>
      <c r="L7" s="91" t="s">
        <v>436</v>
      </c>
      <c r="M7" s="75">
        <v>92</v>
      </c>
      <c r="N7" s="75" t="str">
        <f>IF(M7=C7,"-","")</f>
        <v>-</v>
      </c>
      <c r="O7" s="75">
        <v>92</v>
      </c>
      <c r="P7" s="21">
        <v>250408</v>
      </c>
      <c r="Q7" s="21" t="s">
        <v>431</v>
      </c>
      <c r="R7" s="21" t="s">
        <v>439</v>
      </c>
      <c r="S7" s="19"/>
      <c r="T7" s="20" t="s">
        <v>440</v>
      </c>
      <c r="U7" s="20">
        <v>250408</v>
      </c>
      <c r="V7" s="20">
        <v>92</v>
      </c>
      <c r="W7" s="20" t="s">
        <v>431</v>
      </c>
      <c r="X7" s="20">
        <v>92</v>
      </c>
      <c r="Y7" s="1"/>
      <c r="Z7" s="82" t="str">
        <f>IF(SUM(M7,N7)=C7,"DONE"," ")</f>
        <v>DONE</v>
      </c>
      <c r="AA7" s="1"/>
      <c r="AB7" s="1"/>
      <c r="AC7" s="1" t="s">
        <v>443</v>
      </c>
      <c r="AD7" s="139"/>
      <c r="AE7" s="128"/>
      <c r="AF7" s="1"/>
      <c r="AG7" s="1"/>
      <c r="AH7" s="1"/>
    </row>
    <row r="8" spans="1:34">
      <c r="A8" s="16">
        <v>24</v>
      </c>
      <c r="B8" s="230">
        <v>45755</v>
      </c>
      <c r="C8" s="239">
        <v>92</v>
      </c>
      <c r="D8" s="283"/>
      <c r="E8" s="235"/>
      <c r="F8" s="20" t="s">
        <v>436</v>
      </c>
      <c r="G8" s="188" t="s">
        <v>436</v>
      </c>
      <c r="H8" s="75">
        <v>92</v>
      </c>
      <c r="I8" s="188" t="s">
        <v>436</v>
      </c>
      <c r="J8" s="91" t="s">
        <v>436</v>
      </c>
      <c r="K8" s="188" t="s">
        <v>436</v>
      </c>
      <c r="L8" s="91" t="s">
        <v>436</v>
      </c>
      <c r="M8" s="75">
        <v>92</v>
      </c>
      <c r="N8" s="75" t="str">
        <f>IF(M8=C8,"-","")</f>
        <v>-</v>
      </c>
      <c r="O8" s="75">
        <v>92</v>
      </c>
      <c r="P8" s="21">
        <v>250410</v>
      </c>
      <c r="Q8" s="21" t="s">
        <v>431</v>
      </c>
      <c r="R8" s="21" t="s">
        <v>439</v>
      </c>
      <c r="S8" s="19"/>
      <c r="T8" s="20" t="s">
        <v>440</v>
      </c>
      <c r="U8" s="20">
        <v>250410</v>
      </c>
      <c r="V8" s="20">
        <v>92</v>
      </c>
      <c r="W8" s="20" t="s">
        <v>431</v>
      </c>
      <c r="X8" s="20">
        <v>92</v>
      </c>
      <c r="Y8" s="1"/>
      <c r="Z8" s="82" t="str">
        <f>IF(SUM(M8,N8)=C8,"DONE"," ")</f>
        <v>DONE</v>
      </c>
      <c r="AA8" s="1"/>
      <c r="AB8" s="1"/>
      <c r="AC8" s="1" t="s">
        <v>443</v>
      </c>
      <c r="AD8" s="139"/>
      <c r="AE8" s="128"/>
      <c r="AF8" s="1"/>
      <c r="AG8" s="1"/>
      <c r="AH8" s="1"/>
    </row>
    <row r="9" spans="1:34">
      <c r="A9" s="16">
        <v>25</v>
      </c>
      <c r="B9" s="230">
        <v>45756</v>
      </c>
      <c r="C9" s="239">
        <v>92</v>
      </c>
      <c r="D9" s="283"/>
      <c r="E9" s="235"/>
      <c r="F9" s="20" t="s">
        <v>436</v>
      </c>
      <c r="G9" s="188" t="s">
        <v>436</v>
      </c>
      <c r="H9" s="75">
        <v>92</v>
      </c>
      <c r="I9" s="188" t="s">
        <v>436</v>
      </c>
      <c r="J9" s="91" t="s">
        <v>436</v>
      </c>
      <c r="K9" s="188" t="s">
        <v>436</v>
      </c>
      <c r="L9" s="91" t="s">
        <v>436</v>
      </c>
      <c r="M9" s="75">
        <v>92</v>
      </c>
      <c r="N9" s="75" t="str">
        <f>IF(M9=C9,"-","")</f>
        <v>-</v>
      </c>
      <c r="O9" s="75">
        <v>92</v>
      </c>
      <c r="P9" s="21">
        <v>250411</v>
      </c>
      <c r="Q9" s="21" t="s">
        <v>431</v>
      </c>
      <c r="R9" s="21" t="s">
        <v>439</v>
      </c>
      <c r="S9" s="19"/>
      <c r="T9" s="20" t="s">
        <v>440</v>
      </c>
      <c r="U9" s="20">
        <v>250416</v>
      </c>
      <c r="V9" s="20">
        <v>92</v>
      </c>
      <c r="W9" s="20" t="s">
        <v>431</v>
      </c>
      <c r="X9" s="20">
        <v>92</v>
      </c>
      <c r="Y9" s="1"/>
      <c r="Z9" s="82" t="str">
        <f>IF(SUM(M9,N9)=C9,"DONE"," ")</f>
        <v>DONE</v>
      </c>
      <c r="AA9" s="1"/>
      <c r="AB9" s="1"/>
      <c r="AC9" s="1" t="s">
        <v>443</v>
      </c>
      <c r="AD9" s="139"/>
      <c r="AE9" s="128"/>
      <c r="AF9" s="1"/>
      <c r="AG9" s="1"/>
      <c r="AH9" s="1"/>
    </row>
    <row r="10" spans="1:34">
      <c r="A10" s="16">
        <v>26</v>
      </c>
      <c r="B10" s="230">
        <v>45758</v>
      </c>
      <c r="C10" s="239">
        <v>92</v>
      </c>
      <c r="D10" s="283"/>
      <c r="E10" s="235"/>
      <c r="F10" s="20" t="s">
        <v>436</v>
      </c>
      <c r="G10" s="188" t="s">
        <v>436</v>
      </c>
      <c r="H10" s="75">
        <v>92</v>
      </c>
      <c r="I10" s="188" t="s">
        <v>436</v>
      </c>
      <c r="J10" s="91" t="s">
        <v>436</v>
      </c>
      <c r="K10" s="188" t="s">
        <v>436</v>
      </c>
      <c r="L10" s="91" t="s">
        <v>436</v>
      </c>
      <c r="M10" s="75">
        <v>91</v>
      </c>
      <c r="N10" s="75">
        <v>1</v>
      </c>
      <c r="O10" s="75">
        <v>91</v>
      </c>
      <c r="P10" s="21">
        <v>250418</v>
      </c>
      <c r="Q10" s="21"/>
      <c r="R10" s="21" t="s">
        <v>439</v>
      </c>
      <c r="S10" s="19"/>
      <c r="T10" s="20" t="s">
        <v>440</v>
      </c>
      <c r="U10" s="20">
        <v>250421</v>
      </c>
      <c r="V10" s="20">
        <v>91</v>
      </c>
      <c r="W10" s="20" t="s">
        <v>431</v>
      </c>
      <c r="X10" s="20">
        <v>91</v>
      </c>
      <c r="Y10" s="1" t="s">
        <v>447</v>
      </c>
      <c r="Z10" s="82" t="str">
        <f>IF(SUM(M10,N10)=C10,"DONE"," ")</f>
        <v>DONE</v>
      </c>
      <c r="AA10" s="102">
        <v>45848</v>
      </c>
      <c r="AB10" s="1"/>
      <c r="AC10" s="1" t="s">
        <v>443</v>
      </c>
      <c r="AD10" s="139"/>
      <c r="AE10" s="128"/>
      <c r="AF10" s="1"/>
      <c r="AG10" s="1"/>
      <c r="AH10" s="1"/>
    </row>
    <row r="11" spans="1:34">
      <c r="A11" s="16">
        <v>27</v>
      </c>
      <c r="B11" s="230">
        <v>45757</v>
      </c>
      <c r="C11" s="239">
        <v>92</v>
      </c>
      <c r="D11" s="283"/>
      <c r="E11" s="235"/>
      <c r="F11" s="20" t="s">
        <v>436</v>
      </c>
      <c r="G11" s="188" t="s">
        <v>436</v>
      </c>
      <c r="H11" s="75">
        <v>92</v>
      </c>
      <c r="I11" s="188" t="s">
        <v>436</v>
      </c>
      <c r="J11" s="91" t="s">
        <v>436</v>
      </c>
      <c r="K11" s="188" t="s">
        <v>436</v>
      </c>
      <c r="L11" s="91" t="s">
        <v>436</v>
      </c>
      <c r="M11" s="75">
        <v>92</v>
      </c>
      <c r="N11" s="75" t="str">
        <f>IF(M11=C11,"-","")</f>
        <v>-</v>
      </c>
      <c r="O11" s="75">
        <v>92</v>
      </c>
      <c r="P11" s="21">
        <v>250416</v>
      </c>
      <c r="Q11" s="21" t="s">
        <v>431</v>
      </c>
      <c r="R11" s="21" t="s">
        <v>439</v>
      </c>
      <c r="S11" s="19"/>
      <c r="T11" s="20" t="s">
        <v>440</v>
      </c>
      <c r="U11" s="20">
        <v>250421</v>
      </c>
      <c r="V11" s="20">
        <v>92</v>
      </c>
      <c r="W11" s="20" t="s">
        <v>431</v>
      </c>
      <c r="X11" s="20">
        <v>92</v>
      </c>
      <c r="Y11" s="1"/>
      <c r="Z11" s="82" t="str">
        <f>IF(SUM(M11,N11)=C11,"DONE"," ")</f>
        <v>DONE</v>
      </c>
      <c r="AA11" s="1"/>
      <c r="AB11" s="1"/>
      <c r="AC11" s="1" t="s">
        <v>443</v>
      </c>
      <c r="AD11" s="139"/>
      <c r="AE11" s="128"/>
      <c r="AF11" s="1"/>
      <c r="AG11" s="1"/>
      <c r="AH11" s="1"/>
    </row>
    <row r="12" spans="1:34">
      <c r="A12" s="16">
        <v>28</v>
      </c>
      <c r="B12" s="230">
        <v>45763</v>
      </c>
      <c r="C12" s="239">
        <v>92</v>
      </c>
      <c r="D12" s="283"/>
      <c r="E12" s="235"/>
      <c r="F12" s="20" t="s">
        <v>436</v>
      </c>
      <c r="G12" s="188" t="s">
        <v>436</v>
      </c>
      <c r="H12" s="75">
        <v>92</v>
      </c>
      <c r="I12" s="188" t="s">
        <v>436</v>
      </c>
      <c r="J12" s="91" t="s">
        <v>436</v>
      </c>
      <c r="K12" s="188" t="s">
        <v>436</v>
      </c>
      <c r="L12" s="91" t="s">
        <v>436</v>
      </c>
      <c r="M12" s="75">
        <v>84</v>
      </c>
      <c r="N12" s="75">
        <v>8</v>
      </c>
      <c r="O12" s="75">
        <v>84</v>
      </c>
      <c r="P12" s="21">
        <v>250425</v>
      </c>
      <c r="Q12" s="21"/>
      <c r="R12" s="21" t="s">
        <v>448</v>
      </c>
      <c r="S12" s="19"/>
      <c r="T12" s="20" t="s">
        <v>440</v>
      </c>
      <c r="U12" s="20">
        <v>250428</v>
      </c>
      <c r="V12" s="20">
        <v>84</v>
      </c>
      <c r="W12" s="20" t="s">
        <v>431</v>
      </c>
      <c r="X12" s="20">
        <v>84</v>
      </c>
      <c r="Y12" s="1" t="s">
        <v>449</v>
      </c>
      <c r="Z12" s="82" t="str">
        <f>IF(SUM(M12,N12)=C12,"DONE"," ")</f>
        <v>DONE</v>
      </c>
      <c r="AA12" s="102">
        <v>45828</v>
      </c>
      <c r="AB12" s="1"/>
      <c r="AC12" s="1" t="s">
        <v>450</v>
      </c>
      <c r="AD12" s="139"/>
      <c r="AE12" s="128"/>
      <c r="AF12" s="1"/>
      <c r="AG12" s="1"/>
      <c r="AH12" s="1"/>
    </row>
    <row r="13" spans="1:34">
      <c r="A13" s="16">
        <v>29</v>
      </c>
      <c r="B13" s="230">
        <v>45764</v>
      </c>
      <c r="C13" s="239">
        <v>92</v>
      </c>
      <c r="D13" s="283"/>
      <c r="E13" s="235"/>
      <c r="F13" s="20" t="s">
        <v>436</v>
      </c>
      <c r="G13" s="188" t="s">
        <v>436</v>
      </c>
      <c r="H13" s="75">
        <v>92</v>
      </c>
      <c r="I13" s="188" t="s">
        <v>436</v>
      </c>
      <c r="J13" s="91" t="s">
        <v>436</v>
      </c>
      <c r="K13" s="188" t="s">
        <v>436</v>
      </c>
      <c r="L13" s="91" t="s">
        <v>436</v>
      </c>
      <c r="M13" s="75">
        <v>92</v>
      </c>
      <c r="N13" s="75" t="str">
        <f>IF(M13=C13,"-","")</f>
        <v>-</v>
      </c>
      <c r="O13" s="75">
        <v>92</v>
      </c>
      <c r="P13" s="21">
        <v>250421</v>
      </c>
      <c r="Q13" s="21" t="s">
        <v>431</v>
      </c>
      <c r="R13" s="21" t="s">
        <v>439</v>
      </c>
      <c r="S13" s="19"/>
      <c r="T13" s="20" t="s">
        <v>440</v>
      </c>
      <c r="U13" s="20">
        <v>250421</v>
      </c>
      <c r="V13" s="20">
        <v>92</v>
      </c>
      <c r="W13" s="20" t="s">
        <v>431</v>
      </c>
      <c r="X13" s="20">
        <v>92</v>
      </c>
      <c r="Y13" s="1" t="s">
        <v>451</v>
      </c>
      <c r="Z13" s="82" t="str">
        <f>IF(SUM(M13,N13)=C13,"DONE"," ")</f>
        <v>DONE</v>
      </c>
      <c r="AA13" s="103" t="s">
        <v>452</v>
      </c>
      <c r="AB13" s="1"/>
      <c r="AC13" s="1" t="s">
        <v>453</v>
      </c>
      <c r="AD13" s="139"/>
      <c r="AE13" s="128"/>
      <c r="AF13" s="1"/>
      <c r="AG13" s="1"/>
      <c r="AH13" s="1"/>
    </row>
    <row r="14" spans="1:34">
      <c r="A14" s="16">
        <v>30</v>
      </c>
      <c r="B14" s="230">
        <v>45705</v>
      </c>
      <c r="C14" s="239">
        <v>92</v>
      </c>
      <c r="D14" s="283"/>
      <c r="E14" s="235"/>
      <c r="F14" s="20" t="s">
        <v>436</v>
      </c>
      <c r="G14" s="188" t="s">
        <v>436</v>
      </c>
      <c r="H14" s="75">
        <v>92</v>
      </c>
      <c r="I14" s="188" t="s">
        <v>436</v>
      </c>
      <c r="J14" s="91" t="s">
        <v>436</v>
      </c>
      <c r="K14" s="188" t="s">
        <v>436</v>
      </c>
      <c r="L14" s="91" t="s">
        <v>436</v>
      </c>
      <c r="M14" s="75">
        <v>88</v>
      </c>
      <c r="N14" s="75">
        <v>4</v>
      </c>
      <c r="O14" s="75">
        <v>88</v>
      </c>
      <c r="P14" s="21">
        <v>250424</v>
      </c>
      <c r="Q14" s="21"/>
      <c r="R14" s="21" t="s">
        <v>454</v>
      </c>
      <c r="S14" s="19"/>
      <c r="T14" s="20" t="s">
        <v>440</v>
      </c>
      <c r="U14" s="20">
        <v>250428</v>
      </c>
      <c r="V14" s="20">
        <v>88</v>
      </c>
      <c r="W14" s="20" t="s">
        <v>431</v>
      </c>
      <c r="X14" s="20">
        <v>88</v>
      </c>
      <c r="Y14" s="1" t="s">
        <v>455</v>
      </c>
      <c r="Z14" s="82" t="str">
        <f>IF(SUM(M14,N14)=C14,"DONE"," ")</f>
        <v>DONE</v>
      </c>
      <c r="AA14" s="102">
        <v>45828</v>
      </c>
      <c r="AB14" s="1"/>
      <c r="AC14" s="1" t="s">
        <v>453</v>
      </c>
      <c r="AD14" s="139"/>
      <c r="AE14" s="128"/>
      <c r="AF14" s="1"/>
      <c r="AG14" s="1"/>
      <c r="AH14" s="1"/>
    </row>
    <row r="15" spans="1:34">
      <c r="A15" s="16">
        <v>31</v>
      </c>
      <c r="B15" s="230">
        <v>45768</v>
      </c>
      <c r="C15" s="239">
        <v>92</v>
      </c>
      <c r="D15" s="283"/>
      <c r="E15" s="235"/>
      <c r="F15" s="20" t="s">
        <v>436</v>
      </c>
      <c r="G15" s="188" t="s">
        <v>436</v>
      </c>
      <c r="H15" s="75">
        <v>92</v>
      </c>
      <c r="I15" s="188" t="s">
        <v>436</v>
      </c>
      <c r="J15" s="91" t="s">
        <v>436</v>
      </c>
      <c r="K15" s="188" t="s">
        <v>436</v>
      </c>
      <c r="L15" s="91" t="s">
        <v>436</v>
      </c>
      <c r="M15" s="75">
        <v>89</v>
      </c>
      <c r="N15" s="75">
        <v>3</v>
      </c>
      <c r="O15" s="75">
        <v>89</v>
      </c>
      <c r="P15" s="21">
        <v>250428</v>
      </c>
      <c r="Q15" s="21"/>
      <c r="R15" s="21" t="s">
        <v>439</v>
      </c>
      <c r="S15" s="19"/>
      <c r="T15" s="20" t="s">
        <v>440</v>
      </c>
      <c r="U15" s="20">
        <v>250428</v>
      </c>
      <c r="V15" s="20">
        <v>89</v>
      </c>
      <c r="W15" s="20" t="s">
        <v>431</v>
      </c>
      <c r="X15" s="20">
        <v>89</v>
      </c>
      <c r="Y15" s="1" t="s">
        <v>456</v>
      </c>
      <c r="Z15" s="82" t="str">
        <f>IF(SUM(M15,N15)=C15,"DONE"," ")</f>
        <v>DONE</v>
      </c>
      <c r="AA15" s="102">
        <v>45828</v>
      </c>
      <c r="AB15" s="1"/>
      <c r="AC15" s="1" t="s">
        <v>457</v>
      </c>
      <c r="AD15" s="139"/>
      <c r="AE15" s="128"/>
      <c r="AF15" s="1"/>
      <c r="AG15" s="1"/>
      <c r="AH15" s="1"/>
    </row>
    <row r="16" spans="1:34">
      <c r="A16" s="16">
        <v>32</v>
      </c>
      <c r="B16" s="230">
        <v>45770</v>
      </c>
      <c r="C16" s="239">
        <v>92</v>
      </c>
      <c r="D16" s="283"/>
      <c r="E16" s="235"/>
      <c r="F16" s="20" t="s">
        <v>436</v>
      </c>
      <c r="G16" s="188" t="s">
        <v>436</v>
      </c>
      <c r="H16" s="75">
        <v>92</v>
      </c>
      <c r="I16" s="188" t="s">
        <v>436</v>
      </c>
      <c r="J16" s="91" t="s">
        <v>436</v>
      </c>
      <c r="K16" s="188" t="s">
        <v>436</v>
      </c>
      <c r="L16" s="91" t="s">
        <v>436</v>
      </c>
      <c r="M16" s="75">
        <v>92</v>
      </c>
      <c r="N16" s="75" t="str">
        <f>IF(M16=C16,"-","")</f>
        <v>-</v>
      </c>
      <c r="O16" s="75">
        <v>92</v>
      </c>
      <c r="P16" s="21">
        <v>250428</v>
      </c>
      <c r="Q16" s="21" t="s">
        <v>431</v>
      </c>
      <c r="R16" s="21" t="s">
        <v>454</v>
      </c>
      <c r="S16" s="19"/>
      <c r="T16" s="20" t="s">
        <v>440</v>
      </c>
      <c r="U16" s="20">
        <v>250428</v>
      </c>
      <c r="V16" s="20">
        <v>92</v>
      </c>
      <c r="W16" s="20" t="s">
        <v>431</v>
      </c>
      <c r="X16" s="20">
        <v>92</v>
      </c>
      <c r="Y16" s="1"/>
      <c r="Z16" s="82" t="str">
        <f>IF(SUM(M16,N16)=C16,"DONE"," ")</f>
        <v>DONE</v>
      </c>
      <c r="AA16" s="103" t="s">
        <v>452</v>
      </c>
      <c r="AB16" s="1"/>
      <c r="AC16" s="1" t="s">
        <v>457</v>
      </c>
      <c r="AD16" s="139"/>
      <c r="AE16" s="128"/>
      <c r="AF16" s="1"/>
      <c r="AG16" s="1"/>
      <c r="AH16" s="1"/>
    </row>
    <row r="17" spans="1:34">
      <c r="A17" s="16">
        <v>33</v>
      </c>
      <c r="B17" s="230">
        <v>45771</v>
      </c>
      <c r="C17" s="239">
        <v>92</v>
      </c>
      <c r="D17" s="283"/>
      <c r="E17" s="235"/>
      <c r="F17" s="20" t="s">
        <v>436</v>
      </c>
      <c r="G17" s="188" t="s">
        <v>436</v>
      </c>
      <c r="H17" s="75">
        <v>92</v>
      </c>
      <c r="I17" s="188" t="s">
        <v>436</v>
      </c>
      <c r="J17" s="91" t="s">
        <v>436</v>
      </c>
      <c r="K17" s="188" t="s">
        <v>436</v>
      </c>
      <c r="L17" s="91" t="s">
        <v>436</v>
      </c>
      <c r="M17" s="75">
        <v>92</v>
      </c>
      <c r="N17" s="75" t="str">
        <f>IF(M17=C17,"-","")</f>
        <v>-</v>
      </c>
      <c r="O17" s="75">
        <v>92</v>
      </c>
      <c r="P17" s="21">
        <v>250505</v>
      </c>
      <c r="Q17" s="21" t="s">
        <v>431</v>
      </c>
      <c r="R17" s="21" t="s">
        <v>458</v>
      </c>
      <c r="S17" s="19"/>
      <c r="T17" s="20" t="s">
        <v>440</v>
      </c>
      <c r="U17" s="20">
        <v>250505</v>
      </c>
      <c r="V17" s="20">
        <v>92</v>
      </c>
      <c r="W17" s="20" t="s">
        <v>431</v>
      </c>
      <c r="X17" s="20">
        <v>92</v>
      </c>
      <c r="Y17" s="1"/>
      <c r="Z17" s="82" t="str">
        <f>IF(SUM(M17,N17)=C17,"DONE"," ")</f>
        <v>DONE</v>
      </c>
      <c r="AA17" s="103" t="s">
        <v>452</v>
      </c>
      <c r="AB17" s="1"/>
      <c r="AC17" s="1" t="s">
        <v>457</v>
      </c>
      <c r="AD17" s="139"/>
      <c r="AE17" s="128"/>
      <c r="AF17" s="1"/>
      <c r="AG17" s="1"/>
      <c r="AH17" s="1"/>
    </row>
    <row r="18" spans="1:34">
      <c r="A18" s="16">
        <v>34</v>
      </c>
      <c r="B18" s="230">
        <v>45773</v>
      </c>
      <c r="C18" s="239">
        <v>92</v>
      </c>
      <c r="D18" s="283"/>
      <c r="E18" s="235"/>
      <c r="F18" s="20" t="s">
        <v>436</v>
      </c>
      <c r="G18" s="188" t="s">
        <v>436</v>
      </c>
      <c r="H18" s="75">
        <v>92</v>
      </c>
      <c r="I18" s="188" t="s">
        <v>436</v>
      </c>
      <c r="J18" s="91" t="s">
        <v>436</v>
      </c>
      <c r="K18" s="188" t="s">
        <v>436</v>
      </c>
      <c r="L18" s="91" t="s">
        <v>436</v>
      </c>
      <c r="M18" s="75">
        <v>90</v>
      </c>
      <c r="N18" s="75">
        <v>2</v>
      </c>
      <c r="O18" s="75">
        <v>90</v>
      </c>
      <c r="P18" s="21">
        <v>250429</v>
      </c>
      <c r="Q18" s="21"/>
      <c r="R18" s="21" t="s">
        <v>454</v>
      </c>
      <c r="S18" s="19"/>
      <c r="T18" s="20" t="s">
        <v>440</v>
      </c>
      <c r="U18" s="20">
        <v>250429</v>
      </c>
      <c r="V18" s="20">
        <v>90</v>
      </c>
      <c r="W18" s="20" t="s">
        <v>431</v>
      </c>
      <c r="X18" s="20">
        <v>90</v>
      </c>
      <c r="Y18" s="1" t="s">
        <v>459</v>
      </c>
      <c r="Z18" s="82" t="str">
        <f>IF(SUM(M18,N18)=C18,"DONE"," ")</f>
        <v>DONE</v>
      </c>
      <c r="AA18" s="102">
        <v>45828</v>
      </c>
      <c r="AB18" s="1"/>
      <c r="AC18" s="1" t="s">
        <v>457</v>
      </c>
      <c r="AD18" s="139"/>
      <c r="AE18" s="128"/>
      <c r="AF18" s="1"/>
      <c r="AG18" s="1"/>
      <c r="AH18" s="1"/>
    </row>
    <row r="19" spans="1:34">
      <c r="A19" s="16">
        <v>35</v>
      </c>
      <c r="B19" s="230">
        <v>45773</v>
      </c>
      <c r="C19" s="239">
        <v>92</v>
      </c>
      <c r="D19" s="283"/>
      <c r="E19" s="235"/>
      <c r="F19" s="20" t="s">
        <v>436</v>
      </c>
      <c r="G19" s="188" t="s">
        <v>436</v>
      </c>
      <c r="H19" s="75">
        <v>92</v>
      </c>
      <c r="I19" s="188" t="s">
        <v>436</v>
      </c>
      <c r="J19" s="91" t="s">
        <v>436</v>
      </c>
      <c r="K19" s="188" t="s">
        <v>436</v>
      </c>
      <c r="L19" s="91" t="s">
        <v>436</v>
      </c>
      <c r="M19" s="75">
        <v>92</v>
      </c>
      <c r="N19" s="75" t="str">
        <f>IF(M19=C19,"-","")</f>
        <v>-</v>
      </c>
      <c r="O19" s="75">
        <v>92</v>
      </c>
      <c r="P19" s="21">
        <v>250505</v>
      </c>
      <c r="Q19" s="21" t="s">
        <v>431</v>
      </c>
      <c r="R19" s="21" t="s">
        <v>454</v>
      </c>
      <c r="S19" s="19"/>
      <c r="T19" s="20" t="s">
        <v>440</v>
      </c>
      <c r="U19" s="20">
        <v>250506</v>
      </c>
      <c r="V19" s="20">
        <v>92</v>
      </c>
      <c r="W19" s="20" t="s">
        <v>431</v>
      </c>
      <c r="X19" s="20">
        <v>92</v>
      </c>
      <c r="Y19" s="1"/>
      <c r="Z19" s="82" t="str">
        <f>IF(SUM(M19,N19)=C19,"DONE"," ")</f>
        <v>DONE</v>
      </c>
      <c r="AA19" s="103" t="s">
        <v>452</v>
      </c>
      <c r="AB19" s="1"/>
      <c r="AC19" s="1" t="s">
        <v>457</v>
      </c>
      <c r="AD19" s="139"/>
      <c r="AE19" s="128"/>
      <c r="AF19" s="1"/>
      <c r="AG19" s="1"/>
      <c r="AH19" s="1"/>
    </row>
    <row r="20" spans="1:34">
      <c r="A20" s="16">
        <v>36</v>
      </c>
      <c r="B20" s="230">
        <v>45774</v>
      </c>
      <c r="C20" s="239">
        <v>92</v>
      </c>
      <c r="D20" s="283"/>
      <c r="E20" s="235"/>
      <c r="F20" s="20" t="s">
        <v>436</v>
      </c>
      <c r="G20" s="188" t="s">
        <v>436</v>
      </c>
      <c r="H20" s="75">
        <v>92</v>
      </c>
      <c r="I20" s="188" t="s">
        <v>436</v>
      </c>
      <c r="J20" s="91" t="s">
        <v>436</v>
      </c>
      <c r="K20" s="188" t="s">
        <v>436</v>
      </c>
      <c r="L20" s="91" t="s">
        <v>436</v>
      </c>
      <c r="M20" s="75">
        <v>89</v>
      </c>
      <c r="N20" s="75">
        <v>3</v>
      </c>
      <c r="O20" s="75">
        <v>89</v>
      </c>
      <c r="P20" s="21">
        <v>250505</v>
      </c>
      <c r="Q20" s="21"/>
      <c r="R20" s="21" t="s">
        <v>454</v>
      </c>
      <c r="S20" s="19"/>
      <c r="T20" s="20" t="s">
        <v>440</v>
      </c>
      <c r="U20" s="20">
        <v>250505</v>
      </c>
      <c r="V20" s="20">
        <v>89</v>
      </c>
      <c r="W20" s="20" t="s">
        <v>431</v>
      </c>
      <c r="X20" s="20">
        <v>89</v>
      </c>
      <c r="Y20" s="1" t="s">
        <v>456</v>
      </c>
      <c r="Z20" s="82" t="str">
        <f>IF(SUM(M20,N20)=C20,"DONE"," ")</f>
        <v>DONE</v>
      </c>
      <c r="AA20" s="102">
        <v>45828</v>
      </c>
      <c r="AB20" s="1"/>
      <c r="AC20" s="1" t="s">
        <v>457</v>
      </c>
      <c r="AD20" s="139"/>
      <c r="AE20" s="128"/>
      <c r="AF20" s="1"/>
      <c r="AG20" s="1"/>
      <c r="AH20" s="1"/>
    </row>
    <row r="21" spans="1:34">
      <c r="A21" s="16">
        <v>37</v>
      </c>
      <c r="B21" s="230">
        <v>45775</v>
      </c>
      <c r="C21" s="239">
        <v>90</v>
      </c>
      <c r="D21" s="283"/>
      <c r="E21" s="235"/>
      <c r="F21" s="20" t="s">
        <v>436</v>
      </c>
      <c r="G21" s="188" t="s">
        <v>436</v>
      </c>
      <c r="H21" s="75">
        <v>90</v>
      </c>
      <c r="I21" s="188" t="s">
        <v>436</v>
      </c>
      <c r="J21" s="91" t="s">
        <v>436</v>
      </c>
      <c r="K21" s="188" t="s">
        <v>436</v>
      </c>
      <c r="L21" s="91" t="s">
        <v>436</v>
      </c>
      <c r="M21" s="75">
        <v>87</v>
      </c>
      <c r="N21" s="75">
        <v>3</v>
      </c>
      <c r="O21" s="75">
        <v>87</v>
      </c>
      <c r="P21" s="21">
        <v>250505</v>
      </c>
      <c r="Q21" s="21"/>
      <c r="R21" s="21" t="s">
        <v>439</v>
      </c>
      <c r="S21" s="19"/>
      <c r="T21" s="20" t="s">
        <v>440</v>
      </c>
      <c r="U21" s="20">
        <v>250506</v>
      </c>
      <c r="V21" s="20">
        <v>87</v>
      </c>
      <c r="W21" s="20" t="s">
        <v>431</v>
      </c>
      <c r="X21" s="20">
        <v>87</v>
      </c>
      <c r="Y21" s="1"/>
      <c r="Z21" s="82" t="str">
        <f>IF(SUM(M21,N21)=C21,"DONE"," ")</f>
        <v>DONE</v>
      </c>
      <c r="AA21" s="102">
        <v>45828</v>
      </c>
      <c r="AB21" s="1"/>
      <c r="AC21" s="1" t="s">
        <v>457</v>
      </c>
      <c r="AD21" s="139"/>
      <c r="AE21" s="128"/>
      <c r="AF21" s="1"/>
      <c r="AG21" s="1"/>
      <c r="AH21" s="1"/>
    </row>
    <row r="22" spans="1:34">
      <c r="A22" s="16">
        <v>38</v>
      </c>
      <c r="B22" s="230">
        <v>45776</v>
      </c>
      <c r="C22" s="239">
        <v>92</v>
      </c>
      <c r="D22" s="283"/>
      <c r="E22" s="235"/>
      <c r="F22" s="20" t="s">
        <v>436</v>
      </c>
      <c r="G22" s="188" t="s">
        <v>436</v>
      </c>
      <c r="H22" s="75">
        <v>92</v>
      </c>
      <c r="I22" s="188" t="s">
        <v>436</v>
      </c>
      <c r="J22" s="91" t="s">
        <v>436</v>
      </c>
      <c r="K22" s="188" t="s">
        <v>436</v>
      </c>
      <c r="L22" s="91" t="s">
        <v>436</v>
      </c>
      <c r="M22" s="75">
        <v>91</v>
      </c>
      <c r="N22" s="75">
        <v>1</v>
      </c>
      <c r="O22" s="75">
        <v>91</v>
      </c>
      <c r="P22" s="21">
        <v>250505</v>
      </c>
      <c r="Q22" s="21"/>
      <c r="R22" s="21" t="s">
        <v>454</v>
      </c>
      <c r="S22" s="19"/>
      <c r="T22" s="20" t="s">
        <v>440</v>
      </c>
      <c r="U22" s="20">
        <v>250506</v>
      </c>
      <c r="V22" s="20">
        <v>91</v>
      </c>
      <c r="W22" s="20" t="s">
        <v>431</v>
      </c>
      <c r="X22" s="20">
        <v>91</v>
      </c>
      <c r="Y22" s="1" t="s">
        <v>460</v>
      </c>
      <c r="Z22" s="82" t="str">
        <f>IF(SUM(M22,N22)=C22,"DONE"," ")</f>
        <v>DONE</v>
      </c>
      <c r="AA22" s="102">
        <v>45828</v>
      </c>
      <c r="AB22" s="1"/>
      <c r="AC22" s="1" t="s">
        <v>457</v>
      </c>
      <c r="AD22" s="139"/>
      <c r="AE22" s="128"/>
      <c r="AF22" s="1"/>
      <c r="AG22" s="1"/>
      <c r="AH22" s="1"/>
    </row>
    <row r="23" spans="1:34">
      <c r="A23" s="16">
        <v>40</v>
      </c>
      <c r="B23" s="230">
        <v>45783</v>
      </c>
      <c r="C23" s="239">
        <v>91</v>
      </c>
      <c r="D23" s="283"/>
      <c r="E23" s="235"/>
      <c r="F23" s="20" t="s">
        <v>436</v>
      </c>
      <c r="G23" s="188" t="s">
        <v>436</v>
      </c>
      <c r="H23" s="75">
        <v>91</v>
      </c>
      <c r="I23" s="188" t="s">
        <v>436</v>
      </c>
      <c r="J23" s="91" t="s">
        <v>436</v>
      </c>
      <c r="K23" s="188" t="s">
        <v>436</v>
      </c>
      <c r="L23" s="91" t="s">
        <v>436</v>
      </c>
      <c r="M23" s="75">
        <v>89</v>
      </c>
      <c r="N23" s="75">
        <v>1</v>
      </c>
      <c r="O23" s="75">
        <v>89</v>
      </c>
      <c r="P23" s="21">
        <v>250507</v>
      </c>
      <c r="Q23" s="21"/>
      <c r="R23" s="21"/>
      <c r="S23" s="19"/>
      <c r="T23" s="20" t="s">
        <v>440</v>
      </c>
      <c r="U23" s="20">
        <v>250508</v>
      </c>
      <c r="V23" s="20">
        <v>89</v>
      </c>
      <c r="W23" s="20" t="s">
        <v>431</v>
      </c>
      <c r="X23" s="20">
        <v>89</v>
      </c>
      <c r="Y23" s="1" t="s">
        <v>461</v>
      </c>
      <c r="Z23" s="82" t="s">
        <v>445</v>
      </c>
      <c r="AA23" s="102">
        <v>45828</v>
      </c>
      <c r="AB23" s="1"/>
      <c r="AC23" s="1" t="s">
        <v>462</v>
      </c>
      <c r="AD23" s="139"/>
      <c r="AE23" s="128"/>
      <c r="AF23" s="1"/>
      <c r="AG23" s="1"/>
      <c r="AH23" s="1"/>
    </row>
    <row r="24" spans="1:34">
      <c r="A24" s="16">
        <v>39</v>
      </c>
      <c r="B24" s="230">
        <v>45785</v>
      </c>
      <c r="C24" s="239">
        <v>92</v>
      </c>
      <c r="D24" s="283"/>
      <c r="E24" s="235"/>
      <c r="F24" s="20" t="s">
        <v>436</v>
      </c>
      <c r="G24" s="188" t="s">
        <v>436</v>
      </c>
      <c r="H24" s="75">
        <v>92</v>
      </c>
      <c r="I24" s="188" t="s">
        <v>436</v>
      </c>
      <c r="J24" s="91" t="s">
        <v>436</v>
      </c>
      <c r="K24" s="188" t="s">
        <v>436</v>
      </c>
      <c r="L24" s="91" t="s">
        <v>436</v>
      </c>
      <c r="M24" s="75">
        <v>91</v>
      </c>
      <c r="N24" s="75">
        <v>0</v>
      </c>
      <c r="O24" s="75">
        <v>91</v>
      </c>
      <c r="P24" s="21">
        <v>250509</v>
      </c>
      <c r="Q24" s="21"/>
      <c r="R24" s="21"/>
      <c r="S24" s="19"/>
      <c r="T24" s="20" t="s">
        <v>440</v>
      </c>
      <c r="U24" s="20">
        <v>250509</v>
      </c>
      <c r="V24" s="20">
        <v>91</v>
      </c>
      <c r="W24" s="20" t="s">
        <v>431</v>
      </c>
      <c r="X24" s="20">
        <v>91</v>
      </c>
      <c r="Y24" s="1" t="s">
        <v>463</v>
      </c>
      <c r="Z24" s="82" t="s">
        <v>445</v>
      </c>
      <c r="AA24" s="1"/>
      <c r="AB24" s="1"/>
      <c r="AC24" s="1" t="s">
        <v>462</v>
      </c>
      <c r="AD24" s="139"/>
      <c r="AE24" s="128"/>
      <c r="AF24" s="1"/>
      <c r="AG24" s="1"/>
      <c r="AH24" s="1"/>
    </row>
    <row r="25" spans="1:34">
      <c r="A25" s="16">
        <v>41</v>
      </c>
      <c r="B25" s="230">
        <v>45785</v>
      </c>
      <c r="C25" s="239">
        <v>92</v>
      </c>
      <c r="D25" s="283"/>
      <c r="E25" s="235"/>
      <c r="F25" s="20" t="s">
        <v>436</v>
      </c>
      <c r="G25" s="188" t="s">
        <v>436</v>
      </c>
      <c r="H25" s="75">
        <v>92</v>
      </c>
      <c r="I25" s="188" t="s">
        <v>436</v>
      </c>
      <c r="J25" s="91" t="s">
        <v>436</v>
      </c>
      <c r="K25" s="188" t="s">
        <v>436</v>
      </c>
      <c r="L25" s="91" t="s">
        <v>436</v>
      </c>
      <c r="M25" s="75">
        <v>88</v>
      </c>
      <c r="N25" s="75">
        <v>4</v>
      </c>
      <c r="O25" s="75">
        <v>88</v>
      </c>
      <c r="P25" s="21">
        <v>250509</v>
      </c>
      <c r="Q25" s="21"/>
      <c r="R25" s="21"/>
      <c r="S25" s="19"/>
      <c r="T25" s="20" t="s">
        <v>440</v>
      </c>
      <c r="U25" s="20">
        <v>250512</v>
      </c>
      <c r="V25" s="20">
        <v>88</v>
      </c>
      <c r="W25" s="20" t="s">
        <v>431</v>
      </c>
      <c r="X25" s="20">
        <v>88</v>
      </c>
      <c r="Y25" s="1" t="s">
        <v>464</v>
      </c>
      <c r="Z25" s="82" t="str">
        <f>IF(SUM(M25,N25)=C25,"DONE"," ")</f>
        <v>DONE</v>
      </c>
      <c r="AA25" s="102">
        <v>45828</v>
      </c>
      <c r="AB25" s="1"/>
      <c r="AC25" s="1" t="s">
        <v>457</v>
      </c>
      <c r="AD25" s="139"/>
      <c r="AE25" s="128"/>
      <c r="AF25" s="1"/>
      <c r="AG25" s="1"/>
      <c r="AH25" s="1"/>
    </row>
    <row r="26" spans="1:34">
      <c r="A26" s="16">
        <v>42</v>
      </c>
      <c r="B26" s="230">
        <v>45786</v>
      </c>
      <c r="C26" s="239">
        <v>92</v>
      </c>
      <c r="D26" s="283"/>
      <c r="E26" s="235"/>
      <c r="F26" s="20" t="s">
        <v>436</v>
      </c>
      <c r="G26" s="188" t="s">
        <v>436</v>
      </c>
      <c r="H26" s="75">
        <v>92</v>
      </c>
      <c r="I26" s="188" t="s">
        <v>436</v>
      </c>
      <c r="J26" s="91" t="s">
        <v>436</v>
      </c>
      <c r="K26" s="188" t="s">
        <v>436</v>
      </c>
      <c r="L26" s="91" t="s">
        <v>436</v>
      </c>
      <c r="M26" s="75">
        <v>91</v>
      </c>
      <c r="N26" s="75">
        <v>1</v>
      </c>
      <c r="O26" s="75">
        <v>91</v>
      </c>
      <c r="P26" s="21">
        <v>250512</v>
      </c>
      <c r="Q26" s="21"/>
      <c r="R26" s="21"/>
      <c r="S26" s="19"/>
      <c r="T26" s="20" t="s">
        <v>440</v>
      </c>
      <c r="U26" s="20">
        <v>250513</v>
      </c>
      <c r="V26" s="20">
        <v>91</v>
      </c>
      <c r="W26" s="20" t="s">
        <v>431</v>
      </c>
      <c r="X26" s="20">
        <v>91</v>
      </c>
      <c r="Y26" s="1"/>
      <c r="Z26" s="82" t="str">
        <f>IF(SUM(M26,N26)=C26,"DONE"," ")</f>
        <v>DONE</v>
      </c>
      <c r="AA26" s="102">
        <v>45828</v>
      </c>
      <c r="AB26" s="1"/>
      <c r="AC26" s="1" t="s">
        <v>457</v>
      </c>
      <c r="AD26" s="139"/>
      <c r="AE26" s="128"/>
      <c r="AF26" s="1"/>
      <c r="AG26" s="1"/>
      <c r="AH26" s="1"/>
    </row>
    <row r="27" spans="1:34">
      <c r="A27" s="16">
        <v>43</v>
      </c>
      <c r="B27" s="230">
        <v>45787</v>
      </c>
      <c r="C27" s="239">
        <v>92</v>
      </c>
      <c r="D27" s="283"/>
      <c r="E27" s="235"/>
      <c r="F27" s="20" t="s">
        <v>436</v>
      </c>
      <c r="G27" s="188" t="s">
        <v>436</v>
      </c>
      <c r="H27" s="75">
        <v>92</v>
      </c>
      <c r="I27" s="188" t="s">
        <v>436</v>
      </c>
      <c r="J27" s="91" t="s">
        <v>436</v>
      </c>
      <c r="K27" s="188" t="s">
        <v>436</v>
      </c>
      <c r="L27" s="91" t="s">
        <v>436</v>
      </c>
      <c r="M27" s="75">
        <v>90</v>
      </c>
      <c r="N27" s="75">
        <v>2</v>
      </c>
      <c r="O27" s="75">
        <v>90</v>
      </c>
      <c r="P27" s="21">
        <v>250518</v>
      </c>
      <c r="Q27" s="21"/>
      <c r="R27" s="21"/>
      <c r="S27" s="19"/>
      <c r="T27" s="20"/>
      <c r="U27" s="22">
        <v>45796</v>
      </c>
      <c r="V27" s="20">
        <v>90</v>
      </c>
      <c r="W27" s="20"/>
      <c r="X27" s="20"/>
      <c r="Y27" s="1"/>
      <c r="Z27" s="82" t="str">
        <f>IF(SUM(M27,N27)=C27,"DONE"," ")</f>
        <v>DONE</v>
      </c>
      <c r="AA27" s="103" t="s">
        <v>452</v>
      </c>
      <c r="AB27" s="1"/>
      <c r="AC27" s="1" t="s">
        <v>457</v>
      </c>
      <c r="AD27" s="139"/>
      <c r="AE27" s="128"/>
      <c r="AF27" s="1"/>
      <c r="AG27" s="1"/>
      <c r="AH27" s="1"/>
    </row>
    <row r="28" spans="1:34">
      <c r="A28" s="16">
        <v>44</v>
      </c>
      <c r="B28" s="230">
        <v>45788</v>
      </c>
      <c r="C28" s="239">
        <v>92</v>
      </c>
      <c r="D28" s="283"/>
      <c r="E28" s="235"/>
      <c r="F28" s="20" t="s">
        <v>436</v>
      </c>
      <c r="G28" s="188" t="s">
        <v>436</v>
      </c>
      <c r="H28" s="75">
        <v>92</v>
      </c>
      <c r="I28" s="188" t="s">
        <v>436</v>
      </c>
      <c r="J28" s="91" t="s">
        <v>436</v>
      </c>
      <c r="K28" s="188" t="s">
        <v>436</v>
      </c>
      <c r="L28" s="91" t="s">
        <v>436</v>
      </c>
      <c r="M28" s="75">
        <v>89</v>
      </c>
      <c r="N28" s="75">
        <v>3</v>
      </c>
      <c r="O28" s="75">
        <v>89</v>
      </c>
      <c r="P28" s="21">
        <v>250513</v>
      </c>
      <c r="Q28" s="21"/>
      <c r="R28" s="21"/>
      <c r="S28" s="19"/>
      <c r="T28" s="20" t="s">
        <v>440</v>
      </c>
      <c r="U28" s="20">
        <v>250516</v>
      </c>
      <c r="V28" s="20">
        <v>89</v>
      </c>
      <c r="W28" s="20"/>
      <c r="X28" s="20"/>
      <c r="Y28" s="1"/>
      <c r="Z28" s="82" t="str">
        <f>IF(SUM(M28,N28)=C28,"DONE"," ")</f>
        <v>DONE</v>
      </c>
      <c r="AA28" s="102">
        <v>45828</v>
      </c>
      <c r="AB28" s="1"/>
      <c r="AC28" s="1" t="s">
        <v>457</v>
      </c>
      <c r="AD28" s="139"/>
      <c r="AE28" s="128"/>
      <c r="AF28" s="1"/>
      <c r="AG28" s="1"/>
      <c r="AH28" s="1"/>
    </row>
    <row r="29" spans="1:34">
      <c r="A29" s="16">
        <v>45</v>
      </c>
      <c r="B29" s="230">
        <v>45789</v>
      </c>
      <c r="C29" s="239">
        <v>92</v>
      </c>
      <c r="D29" s="283"/>
      <c r="E29" s="235"/>
      <c r="F29" s="20" t="s">
        <v>436</v>
      </c>
      <c r="G29" s="188" t="s">
        <v>436</v>
      </c>
      <c r="H29" s="75">
        <v>92</v>
      </c>
      <c r="I29" s="188" t="s">
        <v>436</v>
      </c>
      <c r="J29" s="91" t="s">
        <v>436</v>
      </c>
      <c r="K29" s="188" t="s">
        <v>436</v>
      </c>
      <c r="L29" s="91" t="s">
        <v>436</v>
      </c>
      <c r="M29" s="75">
        <v>86</v>
      </c>
      <c r="N29" s="75">
        <v>6</v>
      </c>
      <c r="O29" s="75">
        <v>86</v>
      </c>
      <c r="P29" s="21">
        <v>250515</v>
      </c>
      <c r="Q29" s="21"/>
      <c r="R29" s="21"/>
      <c r="S29" s="19"/>
      <c r="T29" s="20" t="s">
        <v>440</v>
      </c>
      <c r="U29" s="20">
        <v>250516</v>
      </c>
      <c r="V29" s="20">
        <v>86</v>
      </c>
      <c r="W29" s="20"/>
      <c r="X29" s="20"/>
      <c r="Y29" s="1"/>
      <c r="Z29" s="82" t="str">
        <f>IF(SUM(M29,N29)=C29,"DONE"," ")</f>
        <v>DONE</v>
      </c>
      <c r="AA29" s="102">
        <v>45828</v>
      </c>
      <c r="AB29" s="1"/>
      <c r="AC29" s="1" t="s">
        <v>457</v>
      </c>
      <c r="AD29" s="139"/>
      <c r="AE29" s="128"/>
      <c r="AF29" s="1"/>
      <c r="AG29" s="1"/>
      <c r="AH29" s="1"/>
    </row>
    <row r="30" spans="1:34">
      <c r="A30" s="16">
        <v>46</v>
      </c>
      <c r="B30" s="230">
        <v>45790</v>
      </c>
      <c r="C30" s="239">
        <v>92</v>
      </c>
      <c r="D30" s="283"/>
      <c r="E30" s="235"/>
      <c r="F30" s="20" t="s">
        <v>436</v>
      </c>
      <c r="G30" s="188" t="s">
        <v>436</v>
      </c>
      <c r="H30" s="75">
        <v>92</v>
      </c>
      <c r="I30" s="188" t="s">
        <v>436</v>
      </c>
      <c r="J30" s="91" t="s">
        <v>436</v>
      </c>
      <c r="K30" s="188" t="s">
        <v>436</v>
      </c>
      <c r="L30" s="91" t="s">
        <v>436</v>
      </c>
      <c r="M30" s="75">
        <v>89</v>
      </c>
      <c r="N30" s="75">
        <v>3</v>
      </c>
      <c r="O30" s="75">
        <v>89</v>
      </c>
      <c r="P30" s="21">
        <v>250515</v>
      </c>
      <c r="Q30" s="21"/>
      <c r="R30" s="21"/>
      <c r="S30" s="19"/>
      <c r="T30" s="20" t="s">
        <v>440</v>
      </c>
      <c r="U30" s="20">
        <v>250516</v>
      </c>
      <c r="V30" s="20">
        <v>89</v>
      </c>
      <c r="W30" s="20"/>
      <c r="X30" s="20"/>
      <c r="Y30" s="1"/>
      <c r="Z30" s="82" t="str">
        <f>IF(SUM(M30,N30)=C30,"DONE"," ")</f>
        <v>DONE</v>
      </c>
      <c r="AA30" s="102">
        <v>45792</v>
      </c>
      <c r="AB30" s="102">
        <v>45844</v>
      </c>
      <c r="AC30" s="1" t="s">
        <v>457</v>
      </c>
      <c r="AD30" s="139"/>
      <c r="AE30" s="128"/>
      <c r="AF30" s="1"/>
      <c r="AG30" s="1"/>
      <c r="AH30" s="1"/>
    </row>
    <row r="31" spans="1:34">
      <c r="A31" s="16">
        <v>47</v>
      </c>
      <c r="B31" s="230">
        <v>45791</v>
      </c>
      <c r="C31" s="239">
        <v>92</v>
      </c>
      <c r="D31" s="283"/>
      <c r="E31" s="235"/>
      <c r="F31" s="20" t="s">
        <v>436</v>
      </c>
      <c r="G31" s="188" t="s">
        <v>436</v>
      </c>
      <c r="H31" s="75">
        <v>92</v>
      </c>
      <c r="I31" s="188" t="s">
        <v>436</v>
      </c>
      <c r="J31" s="91" t="s">
        <v>436</v>
      </c>
      <c r="K31" s="188" t="s">
        <v>436</v>
      </c>
      <c r="L31" s="91" t="s">
        <v>436</v>
      </c>
      <c r="M31" s="75">
        <v>84</v>
      </c>
      <c r="N31" s="75">
        <v>8</v>
      </c>
      <c r="O31" s="75">
        <v>84</v>
      </c>
      <c r="P31" s="21">
        <v>250517</v>
      </c>
      <c r="Q31" s="21"/>
      <c r="R31" s="21"/>
      <c r="S31" s="19"/>
      <c r="T31" s="20"/>
      <c r="U31" s="22">
        <v>45796</v>
      </c>
      <c r="V31" s="20">
        <v>84</v>
      </c>
      <c r="W31" s="20"/>
      <c r="X31" s="20"/>
      <c r="Y31" s="1"/>
      <c r="Z31" s="82" t="str">
        <f>IF(SUM(M31,N31)=C31,"DONE"," ")</f>
        <v>DONE</v>
      </c>
      <c r="AA31" s="1"/>
      <c r="AB31" s="1"/>
      <c r="AC31" s="1" t="s">
        <v>457</v>
      </c>
      <c r="AD31" s="139"/>
      <c r="AE31" s="128"/>
      <c r="AF31" s="1"/>
      <c r="AG31" s="1"/>
      <c r="AH31" s="1"/>
    </row>
    <row r="32" spans="1:34">
      <c r="A32" s="16">
        <v>48</v>
      </c>
      <c r="B32" s="230">
        <v>45793</v>
      </c>
      <c r="C32" s="239">
        <v>92</v>
      </c>
      <c r="D32" s="283"/>
      <c r="E32" s="235"/>
      <c r="F32" s="20" t="s">
        <v>436</v>
      </c>
      <c r="G32" s="188" t="s">
        <v>436</v>
      </c>
      <c r="H32" s="75">
        <v>92</v>
      </c>
      <c r="I32" s="188" t="s">
        <v>436</v>
      </c>
      <c r="J32" s="91" t="s">
        <v>436</v>
      </c>
      <c r="K32" s="188" t="s">
        <v>436</v>
      </c>
      <c r="L32" s="91" t="s">
        <v>436</v>
      </c>
      <c r="M32" s="75">
        <v>86</v>
      </c>
      <c r="N32" s="75">
        <v>6</v>
      </c>
      <c r="O32" s="75">
        <v>86</v>
      </c>
      <c r="P32" s="21">
        <v>250518</v>
      </c>
      <c r="Q32" s="21"/>
      <c r="R32" s="21"/>
      <c r="S32" s="19"/>
      <c r="T32" s="20"/>
      <c r="U32" s="22">
        <v>45796</v>
      </c>
      <c r="V32" s="20">
        <v>86</v>
      </c>
      <c r="W32" s="20"/>
      <c r="X32" s="20"/>
      <c r="Y32" s="1"/>
      <c r="Z32" s="82" t="str">
        <f>IF(SUM(M32,N32)=C32,"DONE"," ")</f>
        <v>DONE</v>
      </c>
      <c r="AA32" s="1"/>
      <c r="AB32" s="1"/>
      <c r="AC32" s="1" t="s">
        <v>457</v>
      </c>
      <c r="AD32" s="139"/>
      <c r="AE32" s="128"/>
      <c r="AF32" s="1"/>
      <c r="AG32" s="1"/>
      <c r="AH32" s="1"/>
    </row>
    <row r="33" spans="1:34">
      <c r="A33" s="16">
        <v>49</v>
      </c>
      <c r="B33" s="230">
        <v>45796</v>
      </c>
      <c r="C33" s="239">
        <v>92</v>
      </c>
      <c r="D33" s="283"/>
      <c r="E33" s="235"/>
      <c r="F33" s="20" t="s">
        <v>436</v>
      </c>
      <c r="G33" s="188" t="s">
        <v>436</v>
      </c>
      <c r="H33" s="75">
        <v>92</v>
      </c>
      <c r="I33" s="188" t="s">
        <v>436</v>
      </c>
      <c r="J33" s="91" t="s">
        <v>436</v>
      </c>
      <c r="K33" s="188" t="s">
        <v>436</v>
      </c>
      <c r="L33" s="91" t="s">
        <v>436</v>
      </c>
      <c r="M33" s="75">
        <v>90</v>
      </c>
      <c r="N33" s="75">
        <v>2</v>
      </c>
      <c r="O33" s="75">
        <v>90</v>
      </c>
      <c r="P33" s="24">
        <v>45797</v>
      </c>
      <c r="Q33" s="21"/>
      <c r="R33" s="21"/>
      <c r="S33" s="19"/>
      <c r="T33" s="20"/>
      <c r="U33" s="20"/>
      <c r="V33" s="20"/>
      <c r="W33" s="20"/>
      <c r="X33" s="20"/>
      <c r="Y33" s="1"/>
      <c r="Z33" s="82" t="str">
        <f>IF(SUM(M33,N33)=C33,"DONE"," ")</f>
        <v>DONE</v>
      </c>
      <c r="AA33" s="1"/>
      <c r="AB33" s="1"/>
      <c r="AC33" s="1" t="s">
        <v>457</v>
      </c>
      <c r="AD33" s="139"/>
      <c r="AE33" s="128"/>
      <c r="AF33" s="1"/>
      <c r="AG33" s="1"/>
      <c r="AH33" s="1"/>
    </row>
    <row r="34" spans="1:34">
      <c r="A34" s="16">
        <v>50</v>
      </c>
      <c r="B34" s="230">
        <v>45796</v>
      </c>
      <c r="C34" s="239">
        <v>92</v>
      </c>
      <c r="D34" s="283"/>
      <c r="E34" s="235"/>
      <c r="F34" s="20" t="s">
        <v>436</v>
      </c>
      <c r="G34" s="188" t="s">
        <v>436</v>
      </c>
      <c r="H34" s="75">
        <v>92</v>
      </c>
      <c r="I34" s="188" t="s">
        <v>436</v>
      </c>
      <c r="J34" s="91" t="s">
        <v>436</v>
      </c>
      <c r="K34" s="188" t="s">
        <v>436</v>
      </c>
      <c r="L34" s="91" t="s">
        <v>436</v>
      </c>
      <c r="M34" s="75">
        <v>92</v>
      </c>
      <c r="N34" s="75" t="str">
        <f>IF(M34=C34,"-","")</f>
        <v>-</v>
      </c>
      <c r="O34" s="75">
        <v>92</v>
      </c>
      <c r="P34" s="24">
        <v>45797</v>
      </c>
      <c r="Q34" s="21"/>
      <c r="R34" s="21"/>
      <c r="S34" s="19"/>
      <c r="T34" s="20"/>
      <c r="U34" s="20"/>
      <c r="V34" s="20"/>
      <c r="W34" s="20"/>
      <c r="X34" s="20"/>
      <c r="Y34" s="1"/>
      <c r="Z34" s="82" t="str">
        <f>IF(SUM(M34,N34)=C34,"DONE"," ")</f>
        <v>DONE</v>
      </c>
      <c r="AA34" s="102">
        <v>45797</v>
      </c>
      <c r="AB34" s="1"/>
      <c r="AC34" s="1" t="s">
        <v>457</v>
      </c>
      <c r="AD34" s="139"/>
      <c r="AE34" s="128"/>
      <c r="AF34" s="1"/>
      <c r="AG34" s="1"/>
      <c r="AH34" s="1"/>
    </row>
    <row r="35" spans="1:34">
      <c r="A35" s="16">
        <v>51</v>
      </c>
      <c r="B35" s="230">
        <v>45796</v>
      </c>
      <c r="C35" s="239">
        <v>92</v>
      </c>
      <c r="D35" s="283"/>
      <c r="E35" s="235"/>
      <c r="F35" s="20" t="s">
        <v>436</v>
      </c>
      <c r="G35" s="188" t="s">
        <v>436</v>
      </c>
      <c r="H35" s="75">
        <v>92</v>
      </c>
      <c r="I35" s="188" t="s">
        <v>436</v>
      </c>
      <c r="J35" s="91" t="s">
        <v>436</v>
      </c>
      <c r="K35" s="188" t="s">
        <v>436</v>
      </c>
      <c r="L35" s="91" t="s">
        <v>436</v>
      </c>
      <c r="M35" s="75">
        <v>90</v>
      </c>
      <c r="N35" s="75">
        <v>2</v>
      </c>
      <c r="O35" s="75">
        <v>90</v>
      </c>
      <c r="P35" s="24">
        <v>45799</v>
      </c>
      <c r="Q35" s="21"/>
      <c r="R35" s="21"/>
      <c r="S35" s="19"/>
      <c r="T35" s="20"/>
      <c r="U35" s="20"/>
      <c r="V35" s="20"/>
      <c r="W35" s="20"/>
      <c r="X35" s="20"/>
      <c r="Y35" s="1"/>
      <c r="Z35" s="82" t="str">
        <f>IF(SUM(M35,N35)=C35,"DONE"," ")</f>
        <v>DONE</v>
      </c>
      <c r="AA35" s="102">
        <v>45799</v>
      </c>
      <c r="AB35" s="102">
        <v>45848</v>
      </c>
      <c r="AC35" s="1" t="s">
        <v>457</v>
      </c>
      <c r="AD35" s="139"/>
      <c r="AE35" s="128"/>
      <c r="AF35" s="1"/>
      <c r="AG35" s="1"/>
      <c r="AH35" s="1"/>
    </row>
    <row r="36" spans="1:34">
      <c r="A36" s="16">
        <v>52</v>
      </c>
      <c r="B36" s="230">
        <v>45796</v>
      </c>
      <c r="C36" s="239">
        <v>92</v>
      </c>
      <c r="D36" s="283"/>
      <c r="E36" s="235"/>
      <c r="F36" s="20" t="s">
        <v>436</v>
      </c>
      <c r="G36" s="188" t="s">
        <v>436</v>
      </c>
      <c r="H36" s="75">
        <v>92</v>
      </c>
      <c r="I36" s="188" t="s">
        <v>436</v>
      </c>
      <c r="J36" s="91" t="s">
        <v>436</v>
      </c>
      <c r="K36" s="188" t="s">
        <v>436</v>
      </c>
      <c r="L36" s="91" t="s">
        <v>436</v>
      </c>
      <c r="M36" s="75">
        <v>91</v>
      </c>
      <c r="N36" s="75">
        <v>1</v>
      </c>
      <c r="O36" s="75">
        <v>91</v>
      </c>
      <c r="P36" s="24">
        <v>45798</v>
      </c>
      <c r="Q36" s="21"/>
      <c r="R36" s="21"/>
      <c r="S36" s="19"/>
      <c r="T36" s="20"/>
      <c r="U36" s="20"/>
      <c r="V36" s="20"/>
      <c r="W36" s="20"/>
      <c r="X36" s="20"/>
      <c r="Y36" s="1"/>
      <c r="Z36" s="82" t="str">
        <f>IF(SUM(M36,N36)=C36,"DONE"," ")</f>
        <v>DONE</v>
      </c>
      <c r="AA36" s="103"/>
      <c r="AB36" s="102">
        <v>45847</v>
      </c>
      <c r="AC36" s="1" t="s">
        <v>453</v>
      </c>
      <c r="AD36" s="139"/>
      <c r="AE36" s="128"/>
      <c r="AF36" s="1"/>
      <c r="AG36" s="1"/>
      <c r="AH36" s="1"/>
    </row>
    <row r="37" spans="1:34">
      <c r="A37" s="16">
        <v>54</v>
      </c>
      <c r="B37" s="230">
        <v>45797</v>
      </c>
      <c r="C37" s="239">
        <v>92</v>
      </c>
      <c r="D37" s="283"/>
      <c r="E37" s="235"/>
      <c r="F37" s="20" t="s">
        <v>436</v>
      </c>
      <c r="G37" s="188" t="s">
        <v>436</v>
      </c>
      <c r="H37" s="75">
        <v>92</v>
      </c>
      <c r="I37" s="188" t="s">
        <v>436</v>
      </c>
      <c r="J37" s="91" t="s">
        <v>436</v>
      </c>
      <c r="K37" s="188" t="s">
        <v>436</v>
      </c>
      <c r="L37" s="91" t="s">
        <v>436</v>
      </c>
      <c r="M37" s="75">
        <v>92</v>
      </c>
      <c r="N37" s="75" t="str">
        <f>IF(M37=C37,"-","")</f>
        <v>-</v>
      </c>
      <c r="O37" s="75">
        <v>92</v>
      </c>
      <c r="P37" s="24">
        <v>45799</v>
      </c>
      <c r="Q37" s="21"/>
      <c r="R37" s="21"/>
      <c r="S37" s="19"/>
      <c r="T37" s="20"/>
      <c r="U37" s="20"/>
      <c r="V37" s="20"/>
      <c r="W37" s="20"/>
      <c r="X37" s="20"/>
      <c r="Y37" s="1"/>
      <c r="Z37" s="82" t="str">
        <f>IF(SUM(M37,N37)=C37,"DONE"," ")</f>
        <v>DONE</v>
      </c>
      <c r="AA37" s="102">
        <v>45799</v>
      </c>
      <c r="AB37" s="103"/>
      <c r="AC37" s="1" t="s">
        <v>457</v>
      </c>
      <c r="AD37" s="139"/>
      <c r="AE37" s="128"/>
      <c r="AF37" s="1"/>
      <c r="AG37" s="1"/>
      <c r="AH37" s="1"/>
    </row>
    <row r="38" spans="1:34">
      <c r="A38" s="16">
        <v>53</v>
      </c>
      <c r="B38" s="230">
        <v>45798</v>
      </c>
      <c r="C38" s="239">
        <v>92</v>
      </c>
      <c r="D38" s="283"/>
      <c r="E38" s="235"/>
      <c r="F38" s="20" t="s">
        <v>436</v>
      </c>
      <c r="G38" s="188" t="s">
        <v>436</v>
      </c>
      <c r="H38" s="75">
        <v>92</v>
      </c>
      <c r="I38" s="188" t="s">
        <v>436</v>
      </c>
      <c r="J38" s="91" t="s">
        <v>436</v>
      </c>
      <c r="K38" s="188" t="s">
        <v>436</v>
      </c>
      <c r="L38" s="91" t="s">
        <v>436</v>
      </c>
      <c r="M38" s="75">
        <v>92</v>
      </c>
      <c r="N38" s="75" t="str">
        <f>IF(M38=C38,"-","")</f>
        <v>-</v>
      </c>
      <c r="O38" s="75">
        <v>92</v>
      </c>
      <c r="P38" s="24">
        <v>45800</v>
      </c>
      <c r="Q38" s="21"/>
      <c r="R38" s="21"/>
      <c r="S38" s="19"/>
      <c r="T38" s="20"/>
      <c r="U38" s="20"/>
      <c r="V38" s="20"/>
      <c r="W38" s="20"/>
      <c r="X38" s="20"/>
      <c r="Y38" s="1"/>
      <c r="Z38" s="82" t="str">
        <f>IF(SUM(M38,N38)=C38,"DONE"," ")</f>
        <v>DONE</v>
      </c>
      <c r="AA38" s="102">
        <v>45800</v>
      </c>
      <c r="AB38" s="103"/>
      <c r="AC38" s="1" t="s">
        <v>457</v>
      </c>
      <c r="AD38" s="139"/>
      <c r="AE38" s="128"/>
      <c r="AF38" s="1"/>
      <c r="AG38" s="1"/>
      <c r="AH38" s="1"/>
    </row>
    <row r="39" spans="1:34">
      <c r="A39" s="16">
        <v>55</v>
      </c>
      <c r="B39" s="230">
        <v>45798</v>
      </c>
      <c r="C39" s="239">
        <v>92</v>
      </c>
      <c r="D39" s="283"/>
      <c r="E39" s="235"/>
      <c r="F39" s="20" t="s">
        <v>436</v>
      </c>
      <c r="G39" s="188" t="s">
        <v>436</v>
      </c>
      <c r="H39" s="75">
        <v>92</v>
      </c>
      <c r="I39" s="188" t="s">
        <v>436</v>
      </c>
      <c r="J39" s="91" t="s">
        <v>436</v>
      </c>
      <c r="K39" s="188" t="s">
        <v>436</v>
      </c>
      <c r="L39" s="91" t="s">
        <v>436</v>
      </c>
      <c r="M39" s="75">
        <v>91</v>
      </c>
      <c r="N39" s="75">
        <v>1</v>
      </c>
      <c r="O39" s="75">
        <v>91</v>
      </c>
      <c r="P39" s="24">
        <v>45800</v>
      </c>
      <c r="Q39" s="21"/>
      <c r="R39" s="21"/>
      <c r="S39" s="19"/>
      <c r="T39" s="20"/>
      <c r="U39" s="20"/>
      <c r="V39" s="20"/>
      <c r="W39" s="20"/>
      <c r="X39" s="20"/>
      <c r="Y39" s="1"/>
      <c r="Z39" s="82" t="str">
        <f>IF(SUM(M39,N39)=C39,"DONE"," ")</f>
        <v>DONE</v>
      </c>
      <c r="AA39" s="102">
        <v>45800</v>
      </c>
      <c r="AB39" s="102">
        <v>45844</v>
      </c>
      <c r="AC39" s="1" t="s">
        <v>457</v>
      </c>
      <c r="AD39" s="139"/>
      <c r="AE39" s="128"/>
      <c r="AF39" s="1"/>
      <c r="AG39" s="1"/>
      <c r="AH39" s="1"/>
    </row>
    <row r="40" spans="1:34">
      <c r="A40" s="16">
        <v>56</v>
      </c>
      <c r="B40" s="230">
        <v>45799</v>
      </c>
      <c r="C40" s="239">
        <v>92</v>
      </c>
      <c r="D40" s="283"/>
      <c r="E40" s="235"/>
      <c r="F40" s="20" t="s">
        <v>436</v>
      </c>
      <c r="G40" s="188" t="s">
        <v>436</v>
      </c>
      <c r="H40" s="75">
        <v>92</v>
      </c>
      <c r="I40" s="188" t="s">
        <v>436</v>
      </c>
      <c r="J40" s="91" t="s">
        <v>436</v>
      </c>
      <c r="K40" s="188" t="s">
        <v>436</v>
      </c>
      <c r="L40" s="91" t="s">
        <v>436</v>
      </c>
      <c r="M40" s="75">
        <v>92</v>
      </c>
      <c r="N40" s="75" t="str">
        <f>IF(M40=C40,"-","")</f>
        <v>-</v>
      </c>
      <c r="O40" s="75">
        <v>92</v>
      </c>
      <c r="P40" s="24">
        <v>45803</v>
      </c>
      <c r="Q40" s="21"/>
      <c r="R40" s="21"/>
      <c r="S40" s="19"/>
      <c r="T40" s="20"/>
      <c r="U40" s="20"/>
      <c r="V40" s="20"/>
      <c r="W40" s="20"/>
      <c r="X40" s="20"/>
      <c r="Y40" s="1"/>
      <c r="Z40" s="82" t="str">
        <f>IF(SUM(M40,N40)=C40,"DONE"," ")</f>
        <v>DONE</v>
      </c>
      <c r="AA40" s="102">
        <v>45799</v>
      </c>
      <c r="AB40" s="103"/>
      <c r="AC40" s="1" t="s">
        <v>457</v>
      </c>
      <c r="AD40" s="139"/>
      <c r="AE40" s="128"/>
      <c r="AF40" s="1"/>
      <c r="AG40" s="1"/>
      <c r="AH40" s="1"/>
    </row>
    <row r="41" spans="1:34">
      <c r="A41" s="16">
        <v>57</v>
      </c>
      <c r="B41" s="230">
        <v>45799</v>
      </c>
      <c r="C41" s="239">
        <v>92</v>
      </c>
      <c r="D41" s="283"/>
      <c r="E41" s="235"/>
      <c r="F41" s="20" t="s">
        <v>436</v>
      </c>
      <c r="G41" s="188" t="s">
        <v>436</v>
      </c>
      <c r="H41" s="75">
        <v>92</v>
      </c>
      <c r="I41" s="188" t="s">
        <v>436</v>
      </c>
      <c r="J41" s="91" t="s">
        <v>436</v>
      </c>
      <c r="K41" s="188" t="s">
        <v>436</v>
      </c>
      <c r="L41" s="91" t="s">
        <v>436</v>
      </c>
      <c r="M41" s="75">
        <v>91</v>
      </c>
      <c r="N41" s="75">
        <v>1</v>
      </c>
      <c r="O41" s="75">
        <v>91</v>
      </c>
      <c r="P41" s="24">
        <v>45803</v>
      </c>
      <c r="Q41" s="21"/>
      <c r="R41" s="21"/>
      <c r="S41" s="19"/>
      <c r="T41" s="20"/>
      <c r="U41" s="20"/>
      <c r="V41" s="20"/>
      <c r="W41" s="20"/>
      <c r="X41" s="20"/>
      <c r="Y41" s="1"/>
      <c r="Z41" s="82" t="str">
        <f>IF(SUM(M41,N41)=C41,"DONE"," ")</f>
        <v>DONE</v>
      </c>
      <c r="AA41" s="102">
        <v>45803</v>
      </c>
      <c r="AB41" s="102">
        <v>45844</v>
      </c>
      <c r="AC41" s="1" t="s">
        <v>457</v>
      </c>
      <c r="AD41" s="139"/>
      <c r="AE41" s="128"/>
      <c r="AF41" s="1"/>
      <c r="AG41" s="1"/>
      <c r="AH41" s="1"/>
    </row>
    <row r="42" spans="1:34">
      <c r="A42" s="16">
        <v>58</v>
      </c>
      <c r="B42" s="230">
        <v>45800</v>
      </c>
      <c r="C42" s="239">
        <v>92</v>
      </c>
      <c r="D42" s="283"/>
      <c r="E42" s="235"/>
      <c r="F42" s="20" t="s">
        <v>436</v>
      </c>
      <c r="G42" s="188" t="s">
        <v>436</v>
      </c>
      <c r="H42" s="75">
        <v>92</v>
      </c>
      <c r="I42" s="188" t="s">
        <v>436</v>
      </c>
      <c r="J42" s="91" t="s">
        <v>436</v>
      </c>
      <c r="K42" s="188" t="s">
        <v>436</v>
      </c>
      <c r="L42" s="91" t="s">
        <v>436</v>
      </c>
      <c r="M42" s="75">
        <v>91</v>
      </c>
      <c r="N42" s="75">
        <v>1</v>
      </c>
      <c r="O42" s="75">
        <v>91</v>
      </c>
      <c r="P42" s="24">
        <v>45803</v>
      </c>
      <c r="Q42" s="21"/>
      <c r="R42" s="21"/>
      <c r="S42" s="19"/>
      <c r="T42" s="20"/>
      <c r="U42" s="20"/>
      <c r="V42" s="20"/>
      <c r="W42" s="20"/>
      <c r="X42" s="20"/>
      <c r="Y42" s="1"/>
      <c r="Z42" s="82" t="str">
        <f>IF(SUM(M42,N42)=C42,"DONE"," ")</f>
        <v>DONE</v>
      </c>
      <c r="AA42" s="102">
        <v>45803</v>
      </c>
      <c r="AB42" s="102">
        <v>45844</v>
      </c>
      <c r="AC42" s="1" t="s">
        <v>457</v>
      </c>
      <c r="AD42" s="139"/>
      <c r="AE42" s="128"/>
      <c r="AF42" s="1"/>
      <c r="AG42" s="1"/>
      <c r="AH42" s="1"/>
    </row>
    <row r="43" spans="1:34">
      <c r="A43" s="16">
        <v>59</v>
      </c>
      <c r="B43" s="230">
        <v>45800</v>
      </c>
      <c r="C43" s="239">
        <v>92</v>
      </c>
      <c r="D43" s="283"/>
      <c r="E43" s="235"/>
      <c r="F43" s="20" t="s">
        <v>436</v>
      </c>
      <c r="G43" s="188" t="s">
        <v>436</v>
      </c>
      <c r="H43" s="75">
        <v>92</v>
      </c>
      <c r="I43" s="188" t="s">
        <v>436</v>
      </c>
      <c r="J43" s="91" t="s">
        <v>436</v>
      </c>
      <c r="K43" s="188" t="s">
        <v>436</v>
      </c>
      <c r="L43" s="91" t="s">
        <v>436</v>
      </c>
      <c r="M43" s="75">
        <v>92</v>
      </c>
      <c r="N43" s="75" t="str">
        <f>IF(M43=C43,"-","")</f>
        <v>-</v>
      </c>
      <c r="O43" s="75">
        <v>92</v>
      </c>
      <c r="P43" s="24">
        <v>45804</v>
      </c>
      <c r="Q43" s="21"/>
      <c r="R43" s="21"/>
      <c r="S43" s="19"/>
      <c r="T43" s="20"/>
      <c r="U43" s="20"/>
      <c r="V43" s="20"/>
      <c r="W43" s="20"/>
      <c r="X43" s="20"/>
      <c r="Y43" s="1"/>
      <c r="Z43" s="82" t="str">
        <f>IF(SUM(M43,N43)=C43,"DONE"," ")</f>
        <v>DONE</v>
      </c>
      <c r="AA43" s="102">
        <v>45804</v>
      </c>
      <c r="AB43" s="103"/>
      <c r="AC43" s="1" t="s">
        <v>457</v>
      </c>
      <c r="AD43" s="139"/>
      <c r="AE43" s="128"/>
      <c r="AF43" s="1"/>
      <c r="AG43" s="1"/>
      <c r="AH43" s="1"/>
    </row>
    <row r="44" spans="1:34">
      <c r="A44" s="16">
        <v>60</v>
      </c>
      <c r="B44" s="230">
        <v>45801</v>
      </c>
      <c r="C44" s="239">
        <v>92</v>
      </c>
      <c r="D44" s="283"/>
      <c r="E44" s="235"/>
      <c r="F44" s="20" t="s">
        <v>436</v>
      </c>
      <c r="G44" s="188" t="s">
        <v>436</v>
      </c>
      <c r="H44" s="75">
        <v>92</v>
      </c>
      <c r="I44" s="188" t="s">
        <v>436</v>
      </c>
      <c r="J44" s="91" t="s">
        <v>436</v>
      </c>
      <c r="K44" s="188" t="s">
        <v>436</v>
      </c>
      <c r="L44" s="91" t="s">
        <v>436</v>
      </c>
      <c r="M44" s="75">
        <v>92</v>
      </c>
      <c r="N44" s="75" t="str">
        <f>IF(M44=C44,"-","")</f>
        <v>-</v>
      </c>
      <c r="O44" s="75">
        <v>92</v>
      </c>
      <c r="P44" s="24">
        <v>45805</v>
      </c>
      <c r="Q44" s="21"/>
      <c r="R44" s="21"/>
      <c r="S44" s="19"/>
      <c r="T44" s="20"/>
      <c r="U44" s="20"/>
      <c r="V44" s="20"/>
      <c r="W44" s="20"/>
      <c r="X44" s="20"/>
      <c r="Y44" s="1"/>
      <c r="Z44" s="82" t="str">
        <f>IF(SUM(M44,N44)=C44,"DONE"," ")</f>
        <v>DONE</v>
      </c>
      <c r="AA44" s="102">
        <v>45805</v>
      </c>
      <c r="AB44" s="103"/>
      <c r="AC44" s="1" t="s">
        <v>457</v>
      </c>
      <c r="AD44" s="139"/>
      <c r="AE44" s="128"/>
      <c r="AF44" s="1"/>
      <c r="AG44" s="1"/>
      <c r="AH44" s="1"/>
    </row>
    <row r="45" spans="1:34">
      <c r="A45" s="16">
        <v>61</v>
      </c>
      <c r="B45" s="230">
        <v>45801</v>
      </c>
      <c r="C45" s="239">
        <v>90</v>
      </c>
      <c r="D45" s="283"/>
      <c r="E45" s="235"/>
      <c r="F45" s="20" t="s">
        <v>436</v>
      </c>
      <c r="G45" s="188" t="s">
        <v>436</v>
      </c>
      <c r="H45" s="75">
        <v>90</v>
      </c>
      <c r="I45" s="188" t="s">
        <v>436</v>
      </c>
      <c r="J45" s="91" t="s">
        <v>436</v>
      </c>
      <c r="K45" s="188" t="s">
        <v>436</v>
      </c>
      <c r="L45" s="91" t="s">
        <v>436</v>
      </c>
      <c r="M45" s="75">
        <v>88</v>
      </c>
      <c r="N45" s="75">
        <v>2</v>
      </c>
      <c r="O45" s="75">
        <v>88</v>
      </c>
      <c r="P45" s="24">
        <v>45804</v>
      </c>
      <c r="Q45" s="21"/>
      <c r="R45" s="21"/>
      <c r="S45" s="19"/>
      <c r="T45" s="20"/>
      <c r="U45" s="20"/>
      <c r="V45" s="20"/>
      <c r="W45" s="20"/>
      <c r="X45" s="20"/>
      <c r="Y45" s="1"/>
      <c r="Z45" s="82" t="str">
        <f>IF(SUM(M45,N45)=C45,"DONE"," ")</f>
        <v>DONE</v>
      </c>
      <c r="AA45" s="102">
        <v>45804</v>
      </c>
      <c r="AB45" s="102">
        <v>45844</v>
      </c>
      <c r="AC45" s="1" t="s">
        <v>453</v>
      </c>
      <c r="AD45" s="139"/>
      <c r="AE45" s="128"/>
      <c r="AF45" s="1"/>
      <c r="AG45" s="1"/>
      <c r="AH45" s="1"/>
    </row>
    <row r="46" spans="1:34">
      <c r="A46" s="16">
        <v>62</v>
      </c>
      <c r="B46" s="230">
        <v>45802</v>
      </c>
      <c r="C46" s="239">
        <v>90</v>
      </c>
      <c r="D46" s="283"/>
      <c r="E46" s="235"/>
      <c r="F46" s="20" t="s">
        <v>436</v>
      </c>
      <c r="G46" s="188" t="s">
        <v>436</v>
      </c>
      <c r="H46" s="75">
        <v>90</v>
      </c>
      <c r="I46" s="188" t="s">
        <v>436</v>
      </c>
      <c r="J46" s="91" t="s">
        <v>436</v>
      </c>
      <c r="K46" s="188" t="s">
        <v>436</v>
      </c>
      <c r="L46" s="91" t="s">
        <v>436</v>
      </c>
      <c r="M46" s="75">
        <v>89</v>
      </c>
      <c r="N46" s="75">
        <v>1</v>
      </c>
      <c r="O46" s="75">
        <v>89</v>
      </c>
      <c r="P46" s="24">
        <v>45806</v>
      </c>
      <c r="Q46" s="21"/>
      <c r="R46" s="21"/>
      <c r="S46" s="19"/>
      <c r="T46" s="20"/>
      <c r="U46" s="20"/>
      <c r="V46" s="20"/>
      <c r="W46" s="20"/>
      <c r="X46" s="20"/>
      <c r="Y46" s="1"/>
      <c r="Z46" s="82" t="str">
        <f>IF(SUM(M46,N46)=C46,"DONE"," ")</f>
        <v>DONE</v>
      </c>
      <c r="AA46" s="102">
        <v>45806</v>
      </c>
      <c r="AB46" s="102">
        <v>45847</v>
      </c>
      <c r="AC46" s="1" t="s">
        <v>457</v>
      </c>
      <c r="AD46" s="139"/>
      <c r="AE46" s="128"/>
      <c r="AF46" s="1"/>
      <c r="AG46" s="1"/>
      <c r="AH46" s="1"/>
    </row>
    <row r="47" spans="1:34">
      <c r="A47" s="16">
        <v>63</v>
      </c>
      <c r="B47" s="230">
        <v>45804</v>
      </c>
      <c r="C47" s="239">
        <v>90</v>
      </c>
      <c r="D47" s="283"/>
      <c r="E47" s="235"/>
      <c r="F47" s="20" t="s">
        <v>436</v>
      </c>
      <c r="G47" s="188" t="s">
        <v>436</v>
      </c>
      <c r="H47" s="75">
        <v>90</v>
      </c>
      <c r="I47" s="188" t="s">
        <v>436</v>
      </c>
      <c r="J47" s="91" t="s">
        <v>436</v>
      </c>
      <c r="K47" s="188" t="s">
        <v>436</v>
      </c>
      <c r="L47" s="91" t="s">
        <v>436</v>
      </c>
      <c r="M47" s="75">
        <v>90</v>
      </c>
      <c r="N47" s="75" t="str">
        <f>IF(M47=C47,"-","")</f>
        <v>-</v>
      </c>
      <c r="O47" s="75">
        <v>90</v>
      </c>
      <c r="P47" s="24">
        <v>45807</v>
      </c>
      <c r="Q47" s="21"/>
      <c r="R47" s="21"/>
      <c r="S47" s="19"/>
      <c r="T47" s="20"/>
      <c r="U47" s="20"/>
      <c r="V47" s="20"/>
      <c r="W47" s="20"/>
      <c r="X47" s="20"/>
      <c r="Y47" s="1"/>
      <c r="Z47" s="82" t="str">
        <f>IF(SUM(M47,N47)=C47,"DONE"," ")</f>
        <v>DONE</v>
      </c>
      <c r="AA47" s="102">
        <v>45807</v>
      </c>
      <c r="AB47" s="103"/>
      <c r="AC47" s="1" t="s">
        <v>457</v>
      </c>
      <c r="AD47" s="139"/>
      <c r="AE47" s="128"/>
      <c r="AF47" s="1"/>
      <c r="AG47" s="1"/>
      <c r="AH47" s="1"/>
    </row>
    <row r="48" spans="1:34">
      <c r="A48" s="16">
        <v>64</v>
      </c>
      <c r="B48" s="230">
        <v>45804</v>
      </c>
      <c r="C48" s="239">
        <v>90</v>
      </c>
      <c r="D48" s="283"/>
      <c r="E48" s="235"/>
      <c r="F48" s="20" t="s">
        <v>436</v>
      </c>
      <c r="G48" s="188" t="s">
        <v>436</v>
      </c>
      <c r="H48" s="75">
        <v>90</v>
      </c>
      <c r="I48" s="188" t="s">
        <v>436</v>
      </c>
      <c r="J48" s="91" t="s">
        <v>436</v>
      </c>
      <c r="K48" s="188" t="s">
        <v>436</v>
      </c>
      <c r="L48" s="91" t="s">
        <v>436</v>
      </c>
      <c r="M48" s="75">
        <v>89</v>
      </c>
      <c r="N48" s="75">
        <v>1</v>
      </c>
      <c r="O48" s="75">
        <v>89</v>
      </c>
      <c r="P48" s="24">
        <v>45807</v>
      </c>
      <c r="Q48" s="21"/>
      <c r="R48" s="21"/>
      <c r="S48" s="19"/>
      <c r="T48" s="20"/>
      <c r="U48" s="20"/>
      <c r="V48" s="20"/>
      <c r="W48" s="20"/>
      <c r="X48" s="20"/>
      <c r="Y48" s="1"/>
      <c r="Z48" s="82" t="str">
        <f>IF(SUM(M48,N48)=C48,"DONE"," ")</f>
        <v>DONE</v>
      </c>
      <c r="AA48" s="102">
        <v>45807</v>
      </c>
      <c r="AB48" s="102">
        <v>45844</v>
      </c>
      <c r="AC48" s="1" t="s">
        <v>457</v>
      </c>
      <c r="AD48" s="139"/>
      <c r="AE48" s="128"/>
      <c r="AF48" s="1"/>
      <c r="AG48" s="1"/>
      <c r="AH48" s="1"/>
    </row>
    <row r="49" spans="1:34">
      <c r="A49" s="16">
        <v>65</v>
      </c>
      <c r="B49" s="230">
        <v>45804</v>
      </c>
      <c r="C49" s="239">
        <v>90</v>
      </c>
      <c r="D49" s="283"/>
      <c r="E49" s="235"/>
      <c r="F49" s="20" t="s">
        <v>436</v>
      </c>
      <c r="G49" s="188" t="s">
        <v>436</v>
      </c>
      <c r="H49" s="75">
        <v>90</v>
      </c>
      <c r="I49" s="188" t="s">
        <v>436</v>
      </c>
      <c r="J49" s="91" t="s">
        <v>436</v>
      </c>
      <c r="K49" s="188" t="s">
        <v>436</v>
      </c>
      <c r="L49" s="91" t="s">
        <v>436</v>
      </c>
      <c r="M49" s="75">
        <v>90</v>
      </c>
      <c r="N49" s="75" t="str">
        <f>IF(M49=C49,"-","")</f>
        <v>-</v>
      </c>
      <c r="O49" s="75">
        <v>90</v>
      </c>
      <c r="P49" s="24">
        <v>45810</v>
      </c>
      <c r="Q49" s="21"/>
      <c r="R49" s="21"/>
      <c r="S49" s="19"/>
      <c r="T49" s="20"/>
      <c r="U49" s="20"/>
      <c r="V49" s="20"/>
      <c r="W49" s="20"/>
      <c r="X49" s="20"/>
      <c r="Y49" s="1"/>
      <c r="Z49" s="82" t="str">
        <f>IF(SUM(M49,N49)=C49,"DONE"," ")</f>
        <v>DONE</v>
      </c>
      <c r="AA49" s="102">
        <v>45810</v>
      </c>
      <c r="AB49" s="103"/>
      <c r="AC49" s="1" t="s">
        <v>457</v>
      </c>
      <c r="AD49" s="139"/>
      <c r="AE49" s="128"/>
      <c r="AF49" s="1"/>
      <c r="AG49" s="1"/>
      <c r="AH49" s="1"/>
    </row>
    <row r="50" spans="1:34">
      <c r="A50" s="16">
        <v>66</v>
      </c>
      <c r="B50" s="230">
        <v>45805</v>
      </c>
      <c r="C50" s="239">
        <v>92</v>
      </c>
      <c r="D50" s="283"/>
      <c r="E50" s="235"/>
      <c r="F50" s="20" t="s">
        <v>436</v>
      </c>
      <c r="G50" s="188" t="s">
        <v>436</v>
      </c>
      <c r="H50" s="75">
        <v>92</v>
      </c>
      <c r="I50" s="188" t="s">
        <v>436</v>
      </c>
      <c r="J50" s="91" t="s">
        <v>436</v>
      </c>
      <c r="K50" s="188" t="s">
        <v>436</v>
      </c>
      <c r="L50" s="91" t="s">
        <v>436</v>
      </c>
      <c r="M50" s="75">
        <v>91</v>
      </c>
      <c r="N50" s="75">
        <v>1</v>
      </c>
      <c r="O50" s="75">
        <v>91</v>
      </c>
      <c r="P50" s="24">
        <v>45806</v>
      </c>
      <c r="Q50" s="21"/>
      <c r="R50" s="21"/>
      <c r="S50" s="19"/>
      <c r="T50" s="20"/>
      <c r="U50" s="20"/>
      <c r="V50" s="20"/>
      <c r="W50" s="20"/>
      <c r="X50" s="20"/>
      <c r="Y50" s="1"/>
      <c r="Z50" s="82" t="str">
        <f>IF(SUM(M50,N50)=C50,"DONE"," ")</f>
        <v>DONE</v>
      </c>
      <c r="AA50" s="102">
        <v>45806</v>
      </c>
      <c r="AB50" s="102">
        <v>45844</v>
      </c>
      <c r="AC50" s="1" t="s">
        <v>465</v>
      </c>
      <c r="AD50" s="139"/>
      <c r="AE50" s="128"/>
      <c r="AF50" s="1"/>
      <c r="AG50" s="1"/>
      <c r="AH50" s="1"/>
    </row>
    <row r="51" spans="1:34">
      <c r="A51" s="16">
        <v>67</v>
      </c>
      <c r="B51" s="230">
        <v>45806</v>
      </c>
      <c r="C51" s="239">
        <v>92</v>
      </c>
      <c r="D51" s="283"/>
      <c r="E51" s="235"/>
      <c r="F51" s="20" t="s">
        <v>436</v>
      </c>
      <c r="G51" s="188" t="s">
        <v>436</v>
      </c>
      <c r="H51" s="75">
        <v>92</v>
      </c>
      <c r="I51" s="188" t="s">
        <v>436</v>
      </c>
      <c r="J51" s="91" t="s">
        <v>436</v>
      </c>
      <c r="K51" s="188" t="s">
        <v>436</v>
      </c>
      <c r="L51" s="91" t="s">
        <v>436</v>
      </c>
      <c r="M51" s="75">
        <v>91</v>
      </c>
      <c r="N51" s="75">
        <v>1</v>
      </c>
      <c r="O51" s="75">
        <v>91</v>
      </c>
      <c r="P51" s="24">
        <v>45811</v>
      </c>
      <c r="Q51" s="21"/>
      <c r="R51" s="21"/>
      <c r="S51" s="19"/>
      <c r="T51" s="20"/>
      <c r="U51" s="20"/>
      <c r="V51" s="20"/>
      <c r="W51" s="20"/>
      <c r="X51" s="20"/>
      <c r="Y51" s="1"/>
      <c r="Z51" s="82" t="str">
        <f>IF(SUM(M51,N51)=C51,"DONE"," ")</f>
        <v>DONE</v>
      </c>
      <c r="AA51" s="102">
        <v>45811</v>
      </c>
      <c r="AB51" s="102">
        <v>45844</v>
      </c>
      <c r="AC51" s="1" t="s">
        <v>457</v>
      </c>
      <c r="AD51" s="139"/>
      <c r="AE51" s="128"/>
      <c r="AF51" s="1"/>
      <c r="AG51" s="1"/>
      <c r="AH51" s="1"/>
    </row>
    <row r="52" spans="1:34">
      <c r="A52" s="16">
        <v>68</v>
      </c>
      <c r="B52" s="230">
        <v>45806</v>
      </c>
      <c r="C52" s="239">
        <v>92</v>
      </c>
      <c r="D52" s="283"/>
      <c r="E52" s="235"/>
      <c r="F52" s="20" t="s">
        <v>436</v>
      </c>
      <c r="G52" s="188" t="s">
        <v>436</v>
      </c>
      <c r="H52" s="75">
        <v>92</v>
      </c>
      <c r="I52" s="188" t="s">
        <v>436</v>
      </c>
      <c r="J52" s="91" t="s">
        <v>436</v>
      </c>
      <c r="K52" s="188" t="s">
        <v>436</v>
      </c>
      <c r="L52" s="91" t="s">
        <v>436</v>
      </c>
      <c r="M52" s="75">
        <v>92</v>
      </c>
      <c r="N52" s="75" t="str">
        <f>IF(M52=C52,"-","")</f>
        <v>-</v>
      </c>
      <c r="O52" s="75">
        <v>92</v>
      </c>
      <c r="P52" s="24">
        <v>45811</v>
      </c>
      <c r="Q52" s="21"/>
      <c r="R52" s="21"/>
      <c r="S52" s="19"/>
      <c r="T52" s="20"/>
      <c r="U52" s="20"/>
      <c r="V52" s="20"/>
      <c r="W52" s="20"/>
      <c r="X52" s="20"/>
      <c r="Y52" s="1"/>
      <c r="Z52" s="82" t="str">
        <f>IF(SUM(M52,N52)=C52,"DONE"," ")</f>
        <v>DONE</v>
      </c>
      <c r="AA52" s="102">
        <v>45811</v>
      </c>
      <c r="AB52" s="103"/>
      <c r="AC52" s="1" t="s">
        <v>466</v>
      </c>
      <c r="AD52" s="139"/>
      <c r="AE52" s="128"/>
      <c r="AF52" s="1"/>
      <c r="AG52" s="1"/>
      <c r="AH52" s="1"/>
    </row>
    <row r="53" spans="1:34">
      <c r="A53" s="16">
        <v>69</v>
      </c>
      <c r="B53" s="230">
        <v>45807</v>
      </c>
      <c r="C53" s="239">
        <v>92</v>
      </c>
      <c r="D53" s="283"/>
      <c r="E53" s="235"/>
      <c r="F53" s="20" t="s">
        <v>436</v>
      </c>
      <c r="G53" s="188" t="s">
        <v>436</v>
      </c>
      <c r="H53" s="75">
        <v>92</v>
      </c>
      <c r="I53" s="188" t="s">
        <v>436</v>
      </c>
      <c r="J53" s="91" t="s">
        <v>436</v>
      </c>
      <c r="K53" s="188" t="s">
        <v>436</v>
      </c>
      <c r="L53" s="91" t="s">
        <v>436</v>
      </c>
      <c r="M53" s="75">
        <v>87</v>
      </c>
      <c r="N53" s="75">
        <v>5</v>
      </c>
      <c r="O53" s="75">
        <v>87</v>
      </c>
      <c r="P53" s="24">
        <v>45812</v>
      </c>
      <c r="Q53" s="21"/>
      <c r="R53" s="21"/>
      <c r="S53" s="19"/>
      <c r="T53" s="20"/>
      <c r="U53" s="20"/>
      <c r="V53" s="20"/>
      <c r="W53" s="20"/>
      <c r="X53" s="20"/>
      <c r="Y53" s="1"/>
      <c r="Z53" s="82" t="str">
        <f>IF(SUM(M53,N53)=C53,"DONE"," ")</f>
        <v>DONE</v>
      </c>
      <c r="AA53" s="102">
        <v>45812</v>
      </c>
      <c r="AB53" s="102">
        <v>45844</v>
      </c>
      <c r="AC53" s="1" t="s">
        <v>457</v>
      </c>
      <c r="AD53" s="139"/>
      <c r="AE53" s="128"/>
      <c r="AF53" s="1"/>
      <c r="AG53" s="1"/>
      <c r="AH53" s="1"/>
    </row>
    <row r="54" spans="1:34">
      <c r="A54" s="16">
        <v>70</v>
      </c>
      <c r="B54" s="230">
        <v>45810</v>
      </c>
      <c r="C54" s="239">
        <v>92</v>
      </c>
      <c r="D54" s="283"/>
      <c r="E54" s="235"/>
      <c r="F54" s="20" t="s">
        <v>436</v>
      </c>
      <c r="G54" s="188" t="s">
        <v>436</v>
      </c>
      <c r="H54" s="75">
        <v>92</v>
      </c>
      <c r="I54" s="188" t="s">
        <v>436</v>
      </c>
      <c r="J54" s="91" t="s">
        <v>436</v>
      </c>
      <c r="K54" s="188" t="s">
        <v>436</v>
      </c>
      <c r="L54" s="91" t="s">
        <v>436</v>
      </c>
      <c r="M54" s="75">
        <v>92</v>
      </c>
      <c r="N54" s="75" t="str">
        <f>IF(M54=C54,"-","")</f>
        <v>-</v>
      </c>
      <c r="O54" s="75">
        <v>92</v>
      </c>
      <c r="P54" s="24">
        <v>45813</v>
      </c>
      <c r="Q54" s="25">
        <v>45814</v>
      </c>
      <c r="R54" s="25">
        <v>45815</v>
      </c>
      <c r="S54" s="23">
        <v>45816</v>
      </c>
      <c r="T54" s="22">
        <v>45817</v>
      </c>
      <c r="U54" s="22">
        <v>45818</v>
      </c>
      <c r="V54" s="22">
        <v>45819</v>
      </c>
      <c r="W54" s="22">
        <v>45820</v>
      </c>
      <c r="X54" s="20"/>
      <c r="Y54" s="1"/>
      <c r="Z54" s="82" t="str">
        <f>IF(SUM(M54,N54)=C54,"DONE"," ")</f>
        <v>DONE</v>
      </c>
      <c r="AA54" s="102">
        <v>45813</v>
      </c>
      <c r="AB54" s="103"/>
      <c r="AC54" s="1" t="s">
        <v>457</v>
      </c>
      <c r="AD54" s="139"/>
      <c r="AE54" s="128"/>
      <c r="AF54" s="1"/>
      <c r="AG54" s="1"/>
      <c r="AH54" s="1"/>
    </row>
    <row r="55" spans="1:34">
      <c r="A55" s="16">
        <v>71</v>
      </c>
      <c r="B55" s="230">
        <v>45810</v>
      </c>
      <c r="C55" s="239">
        <v>92</v>
      </c>
      <c r="D55" s="283"/>
      <c r="E55" s="235"/>
      <c r="F55" s="20" t="s">
        <v>436</v>
      </c>
      <c r="G55" s="188" t="s">
        <v>436</v>
      </c>
      <c r="H55" s="75">
        <v>92</v>
      </c>
      <c r="I55" s="188" t="s">
        <v>436</v>
      </c>
      <c r="J55" s="91" t="s">
        <v>436</v>
      </c>
      <c r="K55" s="188" t="s">
        <v>436</v>
      </c>
      <c r="L55" s="91" t="s">
        <v>436</v>
      </c>
      <c r="M55" s="75">
        <v>91</v>
      </c>
      <c r="N55" s="75">
        <v>1</v>
      </c>
      <c r="O55" s="75">
        <v>91</v>
      </c>
      <c r="P55" s="24">
        <v>45817</v>
      </c>
      <c r="Q55" s="21"/>
      <c r="R55" s="21"/>
      <c r="S55" s="19"/>
      <c r="T55" s="20"/>
      <c r="U55" s="20"/>
      <c r="V55" s="20"/>
      <c r="W55" s="20"/>
      <c r="X55" s="20"/>
      <c r="Y55" s="1"/>
      <c r="Z55" s="82" t="str">
        <f>IF(SUM(M55,N55)=C55,"DONE"," ")</f>
        <v>DONE</v>
      </c>
      <c r="AA55" s="102">
        <v>45817</v>
      </c>
      <c r="AB55" s="102">
        <v>45844</v>
      </c>
      <c r="AC55" s="1" t="s">
        <v>457</v>
      </c>
      <c r="AD55" s="139"/>
      <c r="AE55" s="128"/>
      <c r="AF55" s="1"/>
      <c r="AG55" s="1"/>
      <c r="AH55" s="1"/>
    </row>
    <row r="56" spans="1:34">
      <c r="A56" s="16">
        <v>72</v>
      </c>
      <c r="B56" s="230">
        <v>45810</v>
      </c>
      <c r="C56" s="239">
        <v>92</v>
      </c>
      <c r="D56" s="283"/>
      <c r="E56" s="235"/>
      <c r="F56" s="20" t="s">
        <v>436</v>
      </c>
      <c r="G56" s="188" t="s">
        <v>436</v>
      </c>
      <c r="H56" s="75">
        <v>92</v>
      </c>
      <c r="I56" s="188" t="s">
        <v>436</v>
      </c>
      <c r="J56" s="91" t="s">
        <v>436</v>
      </c>
      <c r="K56" s="188" t="s">
        <v>436</v>
      </c>
      <c r="L56" s="91" t="s">
        <v>436</v>
      </c>
      <c r="M56" s="75">
        <v>91</v>
      </c>
      <c r="N56" s="75">
        <v>1</v>
      </c>
      <c r="O56" s="75">
        <v>91</v>
      </c>
      <c r="P56" s="24">
        <v>45814</v>
      </c>
      <c r="Q56" s="25">
        <v>45814</v>
      </c>
      <c r="R56" s="25">
        <v>45815</v>
      </c>
      <c r="S56" s="23">
        <v>45816</v>
      </c>
      <c r="T56" s="22">
        <v>45817</v>
      </c>
      <c r="U56" s="22">
        <v>45818</v>
      </c>
      <c r="V56" s="22">
        <v>45819</v>
      </c>
      <c r="W56" s="22">
        <v>45820</v>
      </c>
      <c r="X56" s="20"/>
      <c r="Y56" s="1"/>
      <c r="Z56" s="82" t="str">
        <f>IF(SUM(M56,N56)=C56,"DONE"," ")</f>
        <v>DONE</v>
      </c>
      <c r="AA56" s="102">
        <v>45814</v>
      </c>
      <c r="AB56" s="102">
        <v>45844</v>
      </c>
      <c r="AC56" s="1" t="s">
        <v>457</v>
      </c>
      <c r="AD56" s="139"/>
      <c r="AE56" s="128"/>
      <c r="AF56" s="1"/>
      <c r="AG56" s="1"/>
      <c r="AH56" s="1"/>
    </row>
    <row r="57" spans="1:34">
      <c r="A57" s="16">
        <v>73</v>
      </c>
      <c r="B57" s="230">
        <v>45812</v>
      </c>
      <c r="C57" s="239">
        <v>92</v>
      </c>
      <c r="D57" s="283"/>
      <c r="E57" s="235"/>
      <c r="F57" s="20" t="s">
        <v>436</v>
      </c>
      <c r="G57" s="188" t="s">
        <v>436</v>
      </c>
      <c r="H57" s="75">
        <v>92</v>
      </c>
      <c r="I57" s="188" t="s">
        <v>436</v>
      </c>
      <c r="J57" s="91" t="s">
        <v>436</v>
      </c>
      <c r="K57" s="188" t="s">
        <v>436</v>
      </c>
      <c r="L57" s="91" t="s">
        <v>436</v>
      </c>
      <c r="M57" s="75">
        <v>90</v>
      </c>
      <c r="N57" s="75">
        <v>2</v>
      </c>
      <c r="O57" s="75">
        <v>90</v>
      </c>
      <c r="P57" s="24">
        <v>45817</v>
      </c>
      <c r="Q57" s="21"/>
      <c r="R57" s="21"/>
      <c r="S57" s="19"/>
      <c r="T57" s="20"/>
      <c r="U57" s="20"/>
      <c r="V57" s="20"/>
      <c r="W57" s="20"/>
      <c r="X57" s="20"/>
      <c r="Y57" s="1"/>
      <c r="Z57" s="82" t="str">
        <f>IF(SUM(M57,N57)=C57,"DONE"," ")</f>
        <v>DONE</v>
      </c>
      <c r="AA57" s="102">
        <v>45817</v>
      </c>
      <c r="AB57" s="102">
        <v>45844</v>
      </c>
      <c r="AC57" s="1" t="s">
        <v>457</v>
      </c>
      <c r="AD57" s="139"/>
      <c r="AE57" s="128"/>
      <c r="AF57" s="1"/>
      <c r="AG57" s="1"/>
      <c r="AH57" s="1"/>
    </row>
    <row r="58" spans="1:34">
      <c r="A58" s="16">
        <v>74</v>
      </c>
      <c r="B58" s="230">
        <v>45812</v>
      </c>
      <c r="C58" s="239">
        <v>92</v>
      </c>
      <c r="D58" s="283"/>
      <c r="E58" s="235"/>
      <c r="F58" s="20" t="s">
        <v>436</v>
      </c>
      <c r="G58" s="188" t="s">
        <v>436</v>
      </c>
      <c r="H58" s="75">
        <v>92</v>
      </c>
      <c r="I58" s="188" t="s">
        <v>436</v>
      </c>
      <c r="J58" s="91" t="s">
        <v>436</v>
      </c>
      <c r="K58" s="188" t="s">
        <v>436</v>
      </c>
      <c r="L58" s="91" t="s">
        <v>436</v>
      </c>
      <c r="M58" s="75">
        <v>92</v>
      </c>
      <c r="N58" s="75" t="str">
        <f>IF(M58=C58,"-","")</f>
        <v>-</v>
      </c>
      <c r="O58" s="75">
        <v>92</v>
      </c>
      <c r="P58" s="24">
        <v>45813</v>
      </c>
      <c r="Q58" s="21"/>
      <c r="R58" s="21"/>
      <c r="S58" s="19"/>
      <c r="T58" s="20"/>
      <c r="U58" s="20"/>
      <c r="V58" s="20"/>
      <c r="W58" s="20"/>
      <c r="X58" s="20"/>
      <c r="Y58" s="1"/>
      <c r="Z58" s="82" t="str">
        <f>IF(SUM(M58,N58)=C58,"DONE"," ")</f>
        <v>DONE</v>
      </c>
      <c r="AA58" s="102">
        <v>45813</v>
      </c>
      <c r="AB58" s="103"/>
      <c r="AC58" s="1" t="s">
        <v>466</v>
      </c>
      <c r="AD58" s="139"/>
      <c r="AE58" s="128"/>
      <c r="AF58" s="1"/>
      <c r="AG58" s="1"/>
      <c r="AH58" s="1"/>
    </row>
    <row r="59" spans="1:34">
      <c r="A59" s="16">
        <v>75</v>
      </c>
      <c r="B59" s="230">
        <v>45813</v>
      </c>
      <c r="C59" s="239">
        <v>92</v>
      </c>
      <c r="D59" s="283"/>
      <c r="E59" s="235"/>
      <c r="F59" s="20" t="s">
        <v>436</v>
      </c>
      <c r="G59" s="188" t="s">
        <v>436</v>
      </c>
      <c r="H59" s="75">
        <v>92</v>
      </c>
      <c r="I59" s="188" t="s">
        <v>436</v>
      </c>
      <c r="J59" s="91" t="s">
        <v>436</v>
      </c>
      <c r="K59" s="188" t="s">
        <v>436</v>
      </c>
      <c r="L59" s="91" t="s">
        <v>436</v>
      </c>
      <c r="M59" s="75">
        <v>90</v>
      </c>
      <c r="N59" s="75">
        <v>2</v>
      </c>
      <c r="O59" s="75">
        <v>90</v>
      </c>
      <c r="P59" s="24">
        <v>45818</v>
      </c>
      <c r="Q59" s="21"/>
      <c r="R59" s="21"/>
      <c r="S59" s="19"/>
      <c r="T59" s="20"/>
      <c r="U59" s="20"/>
      <c r="V59" s="20"/>
      <c r="W59" s="20"/>
      <c r="X59" s="20"/>
      <c r="Y59" s="1"/>
      <c r="Z59" s="82" t="str">
        <f>IF(SUM(M59,N59)=C59,"DONE"," ")</f>
        <v>DONE</v>
      </c>
      <c r="AA59" s="102">
        <v>45818</v>
      </c>
      <c r="AB59" s="102">
        <v>45845</v>
      </c>
      <c r="AC59" s="1" t="s">
        <v>457</v>
      </c>
      <c r="AD59" s="139"/>
      <c r="AE59" s="128"/>
      <c r="AF59" s="1"/>
      <c r="AG59" s="1"/>
      <c r="AH59" s="1"/>
    </row>
    <row r="60" spans="1:34">
      <c r="A60" s="16">
        <v>76</v>
      </c>
      <c r="B60" s="230">
        <v>45814</v>
      </c>
      <c r="C60" s="239">
        <v>92</v>
      </c>
      <c r="D60" s="283"/>
      <c r="E60" s="235"/>
      <c r="F60" s="20" t="s">
        <v>467</v>
      </c>
      <c r="G60" s="188" t="s">
        <v>436</v>
      </c>
      <c r="H60" s="75">
        <v>92</v>
      </c>
      <c r="I60" s="188" t="s">
        <v>436</v>
      </c>
      <c r="J60" s="91" t="s">
        <v>436</v>
      </c>
      <c r="K60" s="188" t="s">
        <v>436</v>
      </c>
      <c r="L60" s="91" t="s">
        <v>436</v>
      </c>
      <c r="M60" s="75">
        <v>90</v>
      </c>
      <c r="N60" s="75">
        <v>1</v>
      </c>
      <c r="O60" s="75">
        <v>90</v>
      </c>
      <c r="P60" s="24">
        <v>45818</v>
      </c>
      <c r="Q60" s="21"/>
      <c r="R60" s="21"/>
      <c r="S60" s="19"/>
      <c r="T60" s="20"/>
      <c r="U60" s="20"/>
      <c r="V60" s="20"/>
      <c r="W60" s="20"/>
      <c r="X60" s="20"/>
      <c r="Y60" s="1"/>
      <c r="Z60" s="82" t="s">
        <v>431</v>
      </c>
      <c r="AA60" s="102">
        <v>45818</v>
      </c>
      <c r="AB60" s="102">
        <v>45844</v>
      </c>
      <c r="AC60" s="1" t="s">
        <v>468</v>
      </c>
      <c r="AD60" s="139"/>
      <c r="AE60" s="128"/>
      <c r="AF60" s="1"/>
      <c r="AG60" s="1"/>
      <c r="AH60" s="1"/>
    </row>
    <row r="61" spans="1:34">
      <c r="A61" s="16">
        <v>77</v>
      </c>
      <c r="B61" s="230">
        <v>45814</v>
      </c>
      <c r="C61" s="239">
        <v>92</v>
      </c>
      <c r="D61" s="283"/>
      <c r="E61" s="235"/>
      <c r="F61" s="20" t="s">
        <v>469</v>
      </c>
      <c r="G61" s="188" t="s">
        <v>436</v>
      </c>
      <c r="H61" s="75">
        <v>92</v>
      </c>
      <c r="I61" s="188" t="s">
        <v>436</v>
      </c>
      <c r="J61" s="91" t="s">
        <v>436</v>
      </c>
      <c r="K61" s="188" t="s">
        <v>436</v>
      </c>
      <c r="L61" s="91" t="s">
        <v>436</v>
      </c>
      <c r="M61" s="75">
        <v>91</v>
      </c>
      <c r="N61" s="75">
        <v>1</v>
      </c>
      <c r="O61" s="75">
        <v>91</v>
      </c>
      <c r="P61" s="24">
        <v>45817</v>
      </c>
      <c r="Q61" s="21"/>
      <c r="R61" s="21"/>
      <c r="S61" s="19"/>
      <c r="T61" s="20"/>
      <c r="U61" s="20"/>
      <c r="V61" s="20"/>
      <c r="W61" s="20"/>
      <c r="X61" s="20"/>
      <c r="Y61" s="1"/>
      <c r="Z61" s="82" t="str">
        <f>IF(SUM(M61,N61)=C61,"DONE"," ")</f>
        <v>DONE</v>
      </c>
      <c r="AA61" s="102">
        <v>45817</v>
      </c>
      <c r="AB61" s="102">
        <v>45845</v>
      </c>
      <c r="AC61" s="1" t="s">
        <v>457</v>
      </c>
      <c r="AD61" s="139"/>
      <c r="AE61" s="128"/>
      <c r="AF61" s="1"/>
      <c r="AG61" s="1"/>
      <c r="AH61" s="1"/>
    </row>
    <row r="62" spans="1:34">
      <c r="A62" s="16">
        <v>78</v>
      </c>
      <c r="B62" s="230">
        <v>45814</v>
      </c>
      <c r="C62" s="239">
        <v>92</v>
      </c>
      <c r="D62" s="283"/>
      <c r="E62" s="235"/>
      <c r="F62" s="20" t="s">
        <v>470</v>
      </c>
      <c r="G62" s="188" t="s">
        <v>436</v>
      </c>
      <c r="H62" s="75">
        <v>92</v>
      </c>
      <c r="I62" s="188" t="s">
        <v>436</v>
      </c>
      <c r="J62" s="91" t="s">
        <v>436</v>
      </c>
      <c r="K62" s="188" t="s">
        <v>436</v>
      </c>
      <c r="L62" s="91" t="s">
        <v>436</v>
      </c>
      <c r="M62" s="75">
        <v>86</v>
      </c>
      <c r="N62" s="75">
        <v>6</v>
      </c>
      <c r="O62" s="75">
        <v>86</v>
      </c>
      <c r="P62" s="24">
        <v>45817</v>
      </c>
      <c r="Q62" s="21"/>
      <c r="R62" s="21"/>
      <c r="S62" s="19"/>
      <c r="T62" s="20"/>
      <c r="U62" s="20"/>
      <c r="V62" s="20"/>
      <c r="W62" s="20"/>
      <c r="X62" s="20"/>
      <c r="Y62" s="1"/>
      <c r="Z62" s="82" t="str">
        <f>IF(SUM(M62,N62)=C62,"DONE"," ")</f>
        <v>DONE</v>
      </c>
      <c r="AA62" s="102">
        <v>45817</v>
      </c>
      <c r="AB62" s="102">
        <v>45834</v>
      </c>
      <c r="AC62" s="1" t="s">
        <v>471</v>
      </c>
      <c r="AD62" s="139"/>
      <c r="AE62" s="128"/>
      <c r="AF62" s="1"/>
      <c r="AG62" s="1"/>
      <c r="AH62" s="1"/>
    </row>
    <row r="63" spans="1:34">
      <c r="A63" s="16">
        <v>79</v>
      </c>
      <c r="B63" s="230">
        <v>45816</v>
      </c>
      <c r="C63" s="239">
        <v>90</v>
      </c>
      <c r="D63" s="283"/>
      <c r="E63" s="235"/>
      <c r="F63" s="20" t="s">
        <v>472</v>
      </c>
      <c r="G63" s="188" t="s">
        <v>436</v>
      </c>
      <c r="H63" s="75">
        <v>90</v>
      </c>
      <c r="I63" s="188" t="s">
        <v>436</v>
      </c>
      <c r="J63" s="91" t="s">
        <v>436</v>
      </c>
      <c r="K63" s="188" t="s">
        <v>436</v>
      </c>
      <c r="L63" s="91" t="s">
        <v>436</v>
      </c>
      <c r="M63" s="75">
        <v>89</v>
      </c>
      <c r="N63" s="75">
        <v>1</v>
      </c>
      <c r="O63" s="75">
        <v>89</v>
      </c>
      <c r="P63" s="21"/>
      <c r="Q63" s="21"/>
      <c r="R63" s="21"/>
      <c r="S63" s="19"/>
      <c r="T63" s="20"/>
      <c r="U63" s="20"/>
      <c r="V63" s="20"/>
      <c r="W63" s="20"/>
      <c r="X63" s="20"/>
      <c r="Y63" s="1"/>
      <c r="Z63" s="82" t="str">
        <f>IF(SUM(M63,N63)=C63,"DONE"," ")</f>
        <v>DONE</v>
      </c>
      <c r="AA63" s="102">
        <v>45825</v>
      </c>
      <c r="AB63" s="102">
        <v>45844</v>
      </c>
      <c r="AC63" s="1" t="s">
        <v>457</v>
      </c>
      <c r="AD63" s="139"/>
      <c r="AE63" s="128"/>
      <c r="AF63" s="1"/>
      <c r="AG63" s="1"/>
      <c r="AH63" s="1"/>
    </row>
    <row r="64" spans="1:34">
      <c r="A64" s="16">
        <v>80</v>
      </c>
      <c r="B64" s="230">
        <v>45816</v>
      </c>
      <c r="C64" s="239">
        <v>90</v>
      </c>
      <c r="D64" s="283"/>
      <c r="E64" s="235"/>
      <c r="F64" s="20" t="s">
        <v>469</v>
      </c>
      <c r="G64" s="188" t="s">
        <v>436</v>
      </c>
      <c r="H64" s="75">
        <v>90</v>
      </c>
      <c r="I64" s="188" t="s">
        <v>436</v>
      </c>
      <c r="J64" s="91" t="s">
        <v>436</v>
      </c>
      <c r="K64" s="188" t="s">
        <v>436</v>
      </c>
      <c r="L64" s="91" t="s">
        <v>436</v>
      </c>
      <c r="M64" s="75">
        <v>88</v>
      </c>
      <c r="N64" s="75">
        <v>2</v>
      </c>
      <c r="O64" s="75">
        <v>88</v>
      </c>
      <c r="P64" s="21"/>
      <c r="Q64" s="21"/>
      <c r="R64" s="21"/>
      <c r="S64" s="19"/>
      <c r="T64" s="20"/>
      <c r="U64" s="20"/>
      <c r="V64" s="20"/>
      <c r="W64" s="20"/>
      <c r="X64" s="20"/>
      <c r="Y64" s="1"/>
      <c r="Z64" s="82" t="str">
        <f>IF(SUM(M64,N64)=C64,"DONE"," ")</f>
        <v>DONE</v>
      </c>
      <c r="AA64" s="102">
        <v>45819</v>
      </c>
      <c r="AB64" s="102">
        <v>45844</v>
      </c>
      <c r="AC64" s="1" t="s">
        <v>457</v>
      </c>
      <c r="AD64" s="139"/>
      <c r="AE64" s="128"/>
      <c r="AF64" s="1"/>
      <c r="AG64" s="1"/>
      <c r="AH64" s="1"/>
    </row>
    <row r="65" spans="1:35">
      <c r="A65" s="16">
        <v>81</v>
      </c>
      <c r="B65" s="230">
        <v>45816</v>
      </c>
      <c r="C65" s="239">
        <v>90</v>
      </c>
      <c r="D65" s="283"/>
      <c r="E65" s="235"/>
      <c r="F65" s="20" t="s">
        <v>469</v>
      </c>
      <c r="G65" s="188" t="s">
        <v>436</v>
      </c>
      <c r="H65" s="75">
        <v>90</v>
      </c>
      <c r="I65" s="188" t="s">
        <v>436</v>
      </c>
      <c r="J65" s="91" t="s">
        <v>436</v>
      </c>
      <c r="K65" s="188" t="s">
        <v>436</v>
      </c>
      <c r="L65" s="91" t="s">
        <v>436</v>
      </c>
      <c r="M65" s="75">
        <v>86</v>
      </c>
      <c r="N65" s="75">
        <v>4</v>
      </c>
      <c r="O65" s="75">
        <v>86</v>
      </c>
      <c r="P65" s="21"/>
      <c r="Q65" s="21"/>
      <c r="R65" s="21"/>
      <c r="S65" s="19"/>
      <c r="T65" s="20"/>
      <c r="U65" s="20"/>
      <c r="V65" s="20"/>
      <c r="W65" s="20"/>
      <c r="X65" s="20"/>
      <c r="Y65" s="1"/>
      <c r="Z65" s="82" t="str">
        <f>IF(SUM(M65,N65)=C65,"DONE"," ")</f>
        <v>DONE</v>
      </c>
      <c r="AA65" s="102">
        <v>45820</v>
      </c>
      <c r="AB65" s="102">
        <v>45844</v>
      </c>
      <c r="AC65" s="1" t="s">
        <v>457</v>
      </c>
      <c r="AD65" s="139"/>
      <c r="AE65" s="128"/>
      <c r="AF65" s="1"/>
      <c r="AG65" s="1"/>
      <c r="AH65" s="1"/>
    </row>
    <row r="66" spans="1:35">
      <c r="A66" s="16">
        <v>82</v>
      </c>
      <c r="B66" s="230">
        <v>45817</v>
      </c>
      <c r="C66" s="239">
        <v>90</v>
      </c>
      <c r="D66" s="283"/>
      <c r="E66" s="235"/>
      <c r="F66" s="20" t="s">
        <v>473</v>
      </c>
      <c r="G66" s="188" t="s">
        <v>436</v>
      </c>
      <c r="H66" s="75">
        <v>90</v>
      </c>
      <c r="I66" s="188" t="s">
        <v>436</v>
      </c>
      <c r="J66" s="91" t="s">
        <v>436</v>
      </c>
      <c r="K66" s="188" t="s">
        <v>436</v>
      </c>
      <c r="L66" s="91" t="s">
        <v>436</v>
      </c>
      <c r="M66" s="75">
        <v>88</v>
      </c>
      <c r="N66" s="75">
        <v>2</v>
      </c>
      <c r="O66" s="75">
        <v>88</v>
      </c>
      <c r="P66" s="21"/>
      <c r="Q66" s="21"/>
      <c r="R66" s="21"/>
      <c r="S66" s="19"/>
      <c r="T66" s="20"/>
      <c r="U66" s="20"/>
      <c r="V66" s="20"/>
      <c r="W66" s="20"/>
      <c r="X66" s="20"/>
      <c r="Y66" s="1"/>
      <c r="Z66" s="82" t="str">
        <f>IF(SUM(M66,N66)=C66,"DONE"," ")</f>
        <v>DONE</v>
      </c>
      <c r="AA66" s="102">
        <v>45820</v>
      </c>
      <c r="AB66" s="102">
        <v>45844</v>
      </c>
      <c r="AC66" s="1" t="s">
        <v>457</v>
      </c>
      <c r="AD66" s="139"/>
      <c r="AE66" s="128"/>
      <c r="AF66" s="1"/>
      <c r="AG66" s="1"/>
      <c r="AH66" s="1"/>
    </row>
    <row r="67" spans="1:35">
      <c r="A67" s="16">
        <v>83</v>
      </c>
      <c r="B67" s="230">
        <v>45817</v>
      </c>
      <c r="C67" s="239">
        <v>92</v>
      </c>
      <c r="D67" s="283"/>
      <c r="E67" s="235"/>
      <c r="F67" s="20" t="s">
        <v>473</v>
      </c>
      <c r="G67" s="188" t="s">
        <v>436</v>
      </c>
      <c r="H67" s="75">
        <v>92</v>
      </c>
      <c r="I67" s="188" t="s">
        <v>436</v>
      </c>
      <c r="J67" s="91" t="s">
        <v>436</v>
      </c>
      <c r="K67" s="188" t="s">
        <v>436</v>
      </c>
      <c r="L67" s="91" t="s">
        <v>436</v>
      </c>
      <c r="M67" s="75">
        <v>87</v>
      </c>
      <c r="N67" s="75">
        <v>5</v>
      </c>
      <c r="O67" s="75">
        <v>87</v>
      </c>
      <c r="P67" s="21"/>
      <c r="Q67" s="21"/>
      <c r="R67" s="21"/>
      <c r="S67" s="19"/>
      <c r="T67" s="20"/>
      <c r="U67" s="20"/>
      <c r="V67" s="20"/>
      <c r="W67" s="20"/>
      <c r="X67" s="20"/>
      <c r="Y67" s="1"/>
      <c r="Z67" s="82" t="str">
        <f>IF(SUM(M67,N67)=C67,"DONE"," ")</f>
        <v>DONE</v>
      </c>
      <c r="AA67" s="102">
        <v>45824</v>
      </c>
      <c r="AB67" s="102">
        <v>45844</v>
      </c>
      <c r="AC67" s="1" t="s">
        <v>474</v>
      </c>
      <c r="AD67" s="139"/>
      <c r="AE67" s="128"/>
      <c r="AF67" s="1"/>
      <c r="AG67" s="1"/>
      <c r="AH67" s="1"/>
    </row>
    <row r="68" spans="1:35">
      <c r="A68" s="16">
        <v>88</v>
      </c>
      <c r="B68" s="230">
        <v>45818</v>
      </c>
      <c r="C68" s="239">
        <v>90</v>
      </c>
      <c r="D68" s="283"/>
      <c r="E68" s="235"/>
      <c r="F68" s="20" t="s">
        <v>469</v>
      </c>
      <c r="G68" s="188" t="s">
        <v>436</v>
      </c>
      <c r="H68" s="75">
        <v>90</v>
      </c>
      <c r="I68" s="188" t="s">
        <v>436</v>
      </c>
      <c r="J68" s="91" t="s">
        <v>436</v>
      </c>
      <c r="K68" s="188" t="s">
        <v>436</v>
      </c>
      <c r="L68" s="91" t="s">
        <v>436</v>
      </c>
      <c r="M68" s="75">
        <v>86</v>
      </c>
      <c r="N68" s="75">
        <v>4</v>
      </c>
      <c r="O68" s="75">
        <v>86</v>
      </c>
      <c r="P68" s="21"/>
      <c r="Q68" s="21"/>
      <c r="R68" s="21"/>
      <c r="S68" s="19"/>
      <c r="T68" s="20"/>
      <c r="U68" s="20"/>
      <c r="V68" s="20"/>
      <c r="W68" s="20"/>
      <c r="X68" s="20"/>
      <c r="Y68" s="1"/>
      <c r="Z68" s="82" t="str">
        <f>IF(SUM(M68,N68)=C68,"DONE"," ")</f>
        <v>DONE</v>
      </c>
      <c r="AA68" s="102">
        <v>45819</v>
      </c>
      <c r="AB68" s="102">
        <v>45844</v>
      </c>
      <c r="AC68" s="1" t="s">
        <v>475</v>
      </c>
      <c r="AD68" s="139"/>
      <c r="AE68" s="128"/>
      <c r="AF68" s="1"/>
      <c r="AG68" s="1"/>
      <c r="AH68" s="1"/>
    </row>
    <row r="69" spans="1:35">
      <c r="A69" s="16">
        <v>84</v>
      </c>
      <c r="B69" s="230">
        <v>45818</v>
      </c>
      <c r="C69" s="239">
        <v>90</v>
      </c>
      <c r="D69" s="283"/>
      <c r="E69" s="235"/>
      <c r="F69" s="20" t="s">
        <v>472</v>
      </c>
      <c r="G69" s="188" t="s">
        <v>436</v>
      </c>
      <c r="H69" s="75">
        <v>90</v>
      </c>
      <c r="I69" s="188" t="s">
        <v>436</v>
      </c>
      <c r="J69" s="91" t="s">
        <v>436</v>
      </c>
      <c r="K69" s="188" t="s">
        <v>436</v>
      </c>
      <c r="L69" s="91" t="s">
        <v>436</v>
      </c>
      <c r="M69" s="75">
        <v>86</v>
      </c>
      <c r="N69" s="75">
        <v>4</v>
      </c>
      <c r="O69" s="75">
        <v>86</v>
      </c>
      <c r="P69" s="21"/>
      <c r="Q69" s="21"/>
      <c r="R69" s="21"/>
      <c r="S69" s="19"/>
      <c r="T69" s="20"/>
      <c r="U69" s="20"/>
      <c r="V69" s="20"/>
      <c r="W69" s="20"/>
      <c r="X69" s="20"/>
      <c r="Y69" s="1"/>
      <c r="Z69" s="82" t="str">
        <f>IF(SUM(M69,N69)=C69,"DONE"," ")</f>
        <v>DONE</v>
      </c>
      <c r="AA69" s="102">
        <v>45821</v>
      </c>
      <c r="AB69" s="102">
        <v>45844</v>
      </c>
      <c r="AC69" s="1" t="s">
        <v>457</v>
      </c>
      <c r="AD69" s="139"/>
      <c r="AE69" s="128"/>
      <c r="AF69" s="1"/>
      <c r="AG69" s="1"/>
      <c r="AH69" s="1"/>
    </row>
    <row r="70" spans="1:35">
      <c r="A70" s="16">
        <v>85</v>
      </c>
      <c r="B70" s="230">
        <v>45818</v>
      </c>
      <c r="C70" s="239">
        <v>90</v>
      </c>
      <c r="D70" s="283"/>
      <c r="E70" s="235"/>
      <c r="F70" s="20" t="s">
        <v>469</v>
      </c>
      <c r="G70" s="188" t="s">
        <v>436</v>
      </c>
      <c r="H70" s="75">
        <v>90</v>
      </c>
      <c r="I70" s="188" t="s">
        <v>436</v>
      </c>
      <c r="J70" s="91" t="s">
        <v>436</v>
      </c>
      <c r="K70" s="188" t="s">
        <v>436</v>
      </c>
      <c r="L70" s="91" t="s">
        <v>436</v>
      </c>
      <c r="M70" s="75">
        <v>85</v>
      </c>
      <c r="N70" s="75">
        <v>5</v>
      </c>
      <c r="O70" s="75">
        <v>85</v>
      </c>
      <c r="P70" s="21"/>
      <c r="Q70" s="21"/>
      <c r="R70" s="21"/>
      <c r="S70" s="19"/>
      <c r="T70" s="20"/>
      <c r="U70" s="20"/>
      <c r="V70" s="20"/>
      <c r="W70" s="20"/>
      <c r="X70" s="20"/>
      <c r="Y70" s="1"/>
      <c r="Z70" s="82" t="str">
        <f>IF(SUM(M70,N70)=C70,"DONE"," ")</f>
        <v>DONE</v>
      </c>
      <c r="AA70" s="102">
        <v>45823</v>
      </c>
      <c r="AB70" s="102">
        <v>45844</v>
      </c>
      <c r="AC70" s="1" t="s">
        <v>457</v>
      </c>
      <c r="AD70" s="139"/>
      <c r="AE70" s="128"/>
      <c r="AF70" s="1"/>
      <c r="AG70" s="1"/>
      <c r="AH70" s="1"/>
    </row>
    <row r="71" spans="1:35">
      <c r="A71" s="16">
        <v>86</v>
      </c>
      <c r="B71" s="230">
        <v>45820</v>
      </c>
      <c r="C71" s="239">
        <v>90</v>
      </c>
      <c r="D71" s="283"/>
      <c r="E71" s="235"/>
      <c r="F71" s="20" t="s">
        <v>473</v>
      </c>
      <c r="G71" s="188" t="s">
        <v>436</v>
      </c>
      <c r="H71" s="75">
        <v>90</v>
      </c>
      <c r="I71" s="188" t="s">
        <v>436</v>
      </c>
      <c r="J71" s="91" t="s">
        <v>436</v>
      </c>
      <c r="K71" s="188" t="s">
        <v>436</v>
      </c>
      <c r="L71" s="91" t="s">
        <v>436</v>
      </c>
      <c r="M71" s="75">
        <v>87</v>
      </c>
      <c r="N71" s="75">
        <v>3</v>
      </c>
      <c r="O71" s="75">
        <v>87</v>
      </c>
      <c r="P71" s="21"/>
      <c r="Q71" s="21"/>
      <c r="R71" s="21"/>
      <c r="S71" s="19"/>
      <c r="T71" s="20"/>
      <c r="U71" s="20"/>
      <c r="V71" s="20"/>
      <c r="W71" s="20"/>
      <c r="X71" s="20"/>
      <c r="Y71" s="1"/>
      <c r="Z71" s="82" t="str">
        <f>IF(SUM(M71,N71)=C71,"DONE"," ")</f>
        <v>DONE</v>
      </c>
      <c r="AA71" s="102">
        <v>45823</v>
      </c>
      <c r="AB71" s="102">
        <v>45844</v>
      </c>
      <c r="AC71" s="1" t="s">
        <v>457</v>
      </c>
      <c r="AD71" s="139"/>
      <c r="AE71" s="128"/>
      <c r="AF71" s="1"/>
      <c r="AG71" s="1"/>
      <c r="AH71" s="1"/>
    </row>
    <row r="72" spans="1:35">
      <c r="A72" s="16">
        <v>87</v>
      </c>
      <c r="B72" s="230">
        <v>45820</v>
      </c>
      <c r="C72" s="239">
        <v>90</v>
      </c>
      <c r="D72" s="283"/>
      <c r="E72" s="235"/>
      <c r="F72" s="20" t="s">
        <v>472</v>
      </c>
      <c r="G72" s="188" t="s">
        <v>436</v>
      </c>
      <c r="H72" s="75">
        <v>90</v>
      </c>
      <c r="I72" s="188" t="s">
        <v>436</v>
      </c>
      <c r="J72" s="91" t="s">
        <v>436</v>
      </c>
      <c r="K72" s="188" t="s">
        <v>436</v>
      </c>
      <c r="L72" s="91" t="s">
        <v>436</v>
      </c>
      <c r="M72" s="75">
        <v>82</v>
      </c>
      <c r="N72" s="75">
        <v>8</v>
      </c>
      <c r="O72" s="75">
        <v>82</v>
      </c>
      <c r="P72" s="21"/>
      <c r="Q72" s="21"/>
      <c r="R72" s="21"/>
      <c r="S72" s="19"/>
      <c r="T72" s="20"/>
      <c r="U72" s="20"/>
      <c r="V72" s="20"/>
      <c r="W72" s="20"/>
      <c r="X72" s="20"/>
      <c r="Y72" s="1"/>
      <c r="Z72" s="82" t="str">
        <f>IF(SUM(M72,N72)=C72,"DONE"," ")</f>
        <v>DONE</v>
      </c>
      <c r="AA72" s="102">
        <v>45823</v>
      </c>
      <c r="AB72" s="102">
        <v>45844</v>
      </c>
      <c r="AC72" s="1" t="s">
        <v>457</v>
      </c>
      <c r="AD72" s="139"/>
      <c r="AE72" s="128"/>
      <c r="AF72" s="1"/>
      <c r="AG72" s="1"/>
      <c r="AH72" s="1"/>
    </row>
    <row r="73" spans="1:35">
      <c r="A73" s="16">
        <v>89</v>
      </c>
      <c r="B73" s="230">
        <v>45821</v>
      </c>
      <c r="C73" s="239">
        <v>90</v>
      </c>
      <c r="D73" s="283"/>
      <c r="E73" s="235"/>
      <c r="F73" s="20" t="s">
        <v>469</v>
      </c>
      <c r="G73" s="188" t="s">
        <v>436</v>
      </c>
      <c r="H73" s="75">
        <v>90</v>
      </c>
      <c r="I73" s="188" t="s">
        <v>436</v>
      </c>
      <c r="J73" s="91" t="s">
        <v>436</v>
      </c>
      <c r="K73" s="188" t="s">
        <v>436</v>
      </c>
      <c r="L73" s="91" t="s">
        <v>436</v>
      </c>
      <c r="M73" s="75">
        <v>84</v>
      </c>
      <c r="N73" s="75">
        <v>6</v>
      </c>
      <c r="O73" s="75">
        <v>84</v>
      </c>
      <c r="P73" s="21"/>
      <c r="Q73" s="21"/>
      <c r="R73" s="21"/>
      <c r="S73" s="19"/>
      <c r="T73" s="20"/>
      <c r="U73" s="20"/>
      <c r="V73" s="20"/>
      <c r="W73" s="20"/>
      <c r="X73" s="20"/>
      <c r="Y73" s="1"/>
      <c r="Z73" s="82" t="str">
        <f>IF(SUM(M73,N73)=C73,"DONE"," ")</f>
        <v>DONE</v>
      </c>
      <c r="AA73" s="102">
        <v>45823</v>
      </c>
      <c r="AB73" s="102">
        <v>45852</v>
      </c>
      <c r="AC73" s="1" t="s">
        <v>457</v>
      </c>
      <c r="AD73" s="139"/>
      <c r="AE73" s="128"/>
      <c r="AF73" s="1"/>
      <c r="AG73" s="1"/>
      <c r="AH73" s="1"/>
    </row>
    <row r="74" spans="1:35">
      <c r="A74" s="16">
        <v>90</v>
      </c>
      <c r="B74" s="230">
        <v>45821</v>
      </c>
      <c r="C74" s="239">
        <v>90</v>
      </c>
      <c r="D74" s="283"/>
      <c r="E74" s="235"/>
      <c r="F74" s="20" t="s">
        <v>472</v>
      </c>
      <c r="G74" s="188" t="s">
        <v>436</v>
      </c>
      <c r="H74" s="75">
        <v>90</v>
      </c>
      <c r="I74" s="188" t="s">
        <v>436</v>
      </c>
      <c r="J74" s="91" t="s">
        <v>436</v>
      </c>
      <c r="K74" s="188" t="s">
        <v>436</v>
      </c>
      <c r="L74" s="91" t="s">
        <v>436</v>
      </c>
      <c r="M74" s="75">
        <v>87</v>
      </c>
      <c r="N74" s="75">
        <v>3</v>
      </c>
      <c r="O74" s="75">
        <v>87</v>
      </c>
      <c r="P74" s="21"/>
      <c r="Q74" s="21"/>
      <c r="R74" s="21"/>
      <c r="S74" s="19"/>
      <c r="T74" s="20"/>
      <c r="U74" s="20"/>
      <c r="V74" s="20"/>
      <c r="W74" s="20"/>
      <c r="X74" s="20"/>
      <c r="Y74" s="1"/>
      <c r="Z74" s="82" t="str">
        <f>IF(SUM(M74,N74)=C74,"DONE"," ")</f>
        <v>DONE</v>
      </c>
      <c r="AA74" s="102">
        <v>45824</v>
      </c>
      <c r="AB74" s="102">
        <v>45844</v>
      </c>
      <c r="AC74" s="1" t="s">
        <v>457</v>
      </c>
      <c r="AD74" s="139"/>
      <c r="AE74" s="128"/>
      <c r="AF74" s="1"/>
      <c r="AG74" s="1"/>
      <c r="AH74" s="1"/>
    </row>
    <row r="75" spans="1:35">
      <c r="A75" s="76">
        <v>91</v>
      </c>
      <c r="B75" s="230">
        <v>45821</v>
      </c>
      <c r="C75" s="240">
        <v>90</v>
      </c>
      <c r="D75" s="283"/>
      <c r="E75" s="235"/>
      <c r="F75" s="51" t="s">
        <v>469</v>
      </c>
      <c r="G75" s="188" t="s">
        <v>436</v>
      </c>
      <c r="H75" s="78">
        <v>90</v>
      </c>
      <c r="I75" s="188" t="s">
        <v>436</v>
      </c>
      <c r="J75" s="91" t="s">
        <v>436</v>
      </c>
      <c r="K75" s="188" t="s">
        <v>436</v>
      </c>
      <c r="L75" s="91" t="s">
        <v>436</v>
      </c>
      <c r="M75" s="78">
        <v>88</v>
      </c>
      <c r="N75" s="75">
        <v>2</v>
      </c>
      <c r="O75" s="78">
        <v>88</v>
      </c>
      <c r="P75" s="21"/>
      <c r="Q75" s="21"/>
      <c r="R75" s="21"/>
      <c r="S75" s="19"/>
      <c r="T75" s="20"/>
      <c r="U75" s="20"/>
      <c r="V75" s="20"/>
      <c r="W75" s="20"/>
      <c r="X75" s="20"/>
      <c r="Y75" s="1"/>
      <c r="Z75" s="82" t="str">
        <f>IF(SUM(M75,N75)=C75,"DONE"," ")</f>
        <v>DONE</v>
      </c>
      <c r="AA75" s="102">
        <v>45826</v>
      </c>
      <c r="AB75" s="102">
        <v>45844</v>
      </c>
      <c r="AC75" s="1" t="s">
        <v>457</v>
      </c>
      <c r="AD75" s="139"/>
      <c r="AE75" s="128"/>
      <c r="AF75" s="1"/>
      <c r="AG75" s="1"/>
      <c r="AH75" s="1"/>
    </row>
    <row r="76" spans="1:35">
      <c r="A76" s="76">
        <v>92</v>
      </c>
      <c r="B76" s="230">
        <v>45822</v>
      </c>
      <c r="C76" s="240">
        <v>91</v>
      </c>
      <c r="D76" s="283"/>
      <c r="E76" s="235"/>
      <c r="F76" s="51" t="s">
        <v>473</v>
      </c>
      <c r="G76" s="188" t="s">
        <v>436</v>
      </c>
      <c r="H76" s="78">
        <v>91</v>
      </c>
      <c r="I76" s="188" t="s">
        <v>436</v>
      </c>
      <c r="J76" s="91" t="s">
        <v>436</v>
      </c>
      <c r="K76" s="188" t="s">
        <v>436</v>
      </c>
      <c r="L76" s="91" t="s">
        <v>436</v>
      </c>
      <c r="M76" s="78">
        <v>88</v>
      </c>
      <c r="N76" s="75">
        <v>3</v>
      </c>
      <c r="O76" s="78">
        <v>88</v>
      </c>
      <c r="P76" s="21"/>
      <c r="Q76" s="21"/>
      <c r="R76" s="21"/>
      <c r="S76" s="19"/>
      <c r="T76" s="20"/>
      <c r="U76" s="20"/>
      <c r="V76" s="20"/>
      <c r="W76" s="20"/>
      <c r="X76" s="20"/>
      <c r="Y76" s="1"/>
      <c r="Z76" s="82" t="str">
        <f>IF(SUM(M76,N76)=C76,"DONE"," ")</f>
        <v>DONE</v>
      </c>
      <c r="AA76" s="102">
        <v>45826</v>
      </c>
      <c r="AB76" s="102">
        <v>45847</v>
      </c>
      <c r="AC76" s="1" t="s">
        <v>476</v>
      </c>
      <c r="AD76" s="139"/>
      <c r="AE76" s="128"/>
      <c r="AF76" s="1"/>
      <c r="AG76" s="1"/>
      <c r="AH76" s="1"/>
    </row>
    <row r="77" spans="1:35">
      <c r="A77" s="76">
        <v>93</v>
      </c>
      <c r="B77" s="230">
        <v>45824</v>
      </c>
      <c r="C77" s="240">
        <v>90</v>
      </c>
      <c r="D77" s="283"/>
      <c r="E77" s="235"/>
      <c r="F77" s="51" t="s">
        <v>469</v>
      </c>
      <c r="G77" s="188" t="s">
        <v>436</v>
      </c>
      <c r="H77" s="78">
        <v>90</v>
      </c>
      <c r="I77" s="188" t="s">
        <v>436</v>
      </c>
      <c r="J77" s="91" t="s">
        <v>436</v>
      </c>
      <c r="K77" s="188" t="s">
        <v>436</v>
      </c>
      <c r="L77" s="91" t="s">
        <v>436</v>
      </c>
      <c r="M77" s="78">
        <v>90</v>
      </c>
      <c r="N77" s="75" t="str">
        <f>IF(M77=C77,"-","")</f>
        <v>-</v>
      </c>
      <c r="O77" s="78">
        <v>90</v>
      </c>
      <c r="P77" s="21"/>
      <c r="Q77" s="21"/>
      <c r="R77" s="21"/>
      <c r="S77" s="19"/>
      <c r="T77" s="20"/>
      <c r="U77" s="20"/>
      <c r="V77" s="20"/>
      <c r="W77" s="20"/>
      <c r="X77" s="20"/>
      <c r="Y77" s="1"/>
      <c r="Z77" s="82" t="str">
        <f>IF(SUM(M77,N77)=C77,"DONE"," ")</f>
        <v>DONE</v>
      </c>
      <c r="AA77" s="102">
        <v>45826</v>
      </c>
      <c r="AB77" s="103"/>
      <c r="AC77" s="1" t="s">
        <v>457</v>
      </c>
      <c r="AD77" s="139"/>
      <c r="AE77" s="128"/>
      <c r="AF77" s="1"/>
      <c r="AG77" s="1"/>
      <c r="AH77" s="1"/>
    </row>
    <row r="78" spans="1:35">
      <c r="A78" s="76">
        <v>94</v>
      </c>
      <c r="B78" s="230">
        <v>45824</v>
      </c>
      <c r="C78" s="240">
        <v>92</v>
      </c>
      <c r="D78" s="284"/>
      <c r="E78" s="236"/>
      <c r="F78" s="51" t="s">
        <v>472</v>
      </c>
      <c r="G78" s="188" t="s">
        <v>436</v>
      </c>
      <c r="H78" s="78">
        <v>92</v>
      </c>
      <c r="I78" s="188" t="s">
        <v>436</v>
      </c>
      <c r="J78" s="91" t="s">
        <v>436</v>
      </c>
      <c r="K78" s="188" t="s">
        <v>436</v>
      </c>
      <c r="L78" s="91" t="s">
        <v>436</v>
      </c>
      <c r="M78" s="78">
        <v>91</v>
      </c>
      <c r="N78" s="75">
        <v>1</v>
      </c>
      <c r="O78" s="77">
        <v>91</v>
      </c>
      <c r="P78" s="73" t="s">
        <v>452</v>
      </c>
      <c r="Q78" s="73" t="s">
        <v>452</v>
      </c>
      <c r="R78" s="73" t="s">
        <v>452</v>
      </c>
      <c r="S78" s="73"/>
      <c r="T78" s="73"/>
      <c r="U78" s="73"/>
      <c r="V78" s="73"/>
      <c r="W78" s="73"/>
      <c r="X78" s="73"/>
      <c r="Y78" s="41"/>
      <c r="Z78" s="82" t="str">
        <f>IF(SUM(M78,N78)=C78,"DONE"," ")</f>
        <v>DONE</v>
      </c>
      <c r="AA78" s="102">
        <v>45825</v>
      </c>
      <c r="AB78" s="102">
        <v>45844</v>
      </c>
      <c r="AC78" s="74" t="s">
        <v>457</v>
      </c>
      <c r="AD78" s="193"/>
      <c r="AE78" s="194"/>
      <c r="AF78" s="41"/>
      <c r="AG78" s="41"/>
      <c r="AH78" s="41"/>
    </row>
    <row r="79" spans="1:35" s="28" customFormat="1">
      <c r="A79" s="76">
        <v>95</v>
      </c>
      <c r="B79" s="230">
        <v>45825</v>
      </c>
      <c r="C79" s="240">
        <v>92</v>
      </c>
      <c r="D79" s="285"/>
      <c r="E79" s="237"/>
      <c r="F79" s="51" t="s">
        <v>477</v>
      </c>
      <c r="G79" s="188" t="s">
        <v>436</v>
      </c>
      <c r="H79" s="78">
        <v>92</v>
      </c>
      <c r="I79" s="188" t="s">
        <v>436</v>
      </c>
      <c r="J79" s="91" t="s">
        <v>436</v>
      </c>
      <c r="K79" s="188" t="s">
        <v>436</v>
      </c>
      <c r="L79" s="91" t="s">
        <v>436</v>
      </c>
      <c r="M79" s="81">
        <v>91</v>
      </c>
      <c r="N79" s="75">
        <v>1</v>
      </c>
      <c r="O79" s="79"/>
      <c r="P79" s="73" t="s">
        <v>452</v>
      </c>
      <c r="Q79" s="73" t="s">
        <v>452</v>
      </c>
      <c r="R79" s="73" t="s">
        <v>452</v>
      </c>
      <c r="S79" s="73"/>
      <c r="T79" s="73"/>
      <c r="U79" s="73"/>
      <c r="V79" s="73"/>
      <c r="W79" s="73"/>
      <c r="X79" s="73"/>
      <c r="Y79" s="41"/>
      <c r="Z79" s="82" t="str">
        <f>IF(SUM(M79,N79)=C79,"DONE"," ")</f>
        <v>DONE</v>
      </c>
      <c r="AA79" s="102">
        <v>45827</v>
      </c>
      <c r="AB79" s="102">
        <v>45844</v>
      </c>
      <c r="AC79" s="74" t="s">
        <v>457</v>
      </c>
      <c r="AD79" s="193"/>
      <c r="AE79" s="194"/>
      <c r="AF79" s="41"/>
      <c r="AG79" s="41"/>
      <c r="AH79" s="41"/>
      <c r="AI79"/>
    </row>
    <row r="80" spans="1:35" s="28" customFormat="1">
      <c r="A80" s="76">
        <v>96</v>
      </c>
      <c r="B80" s="230">
        <v>45825</v>
      </c>
      <c r="C80" s="240">
        <v>90</v>
      </c>
      <c r="D80" s="284"/>
      <c r="E80" s="236"/>
      <c r="F80" s="51" t="s">
        <v>478</v>
      </c>
      <c r="G80" s="188" t="s">
        <v>436</v>
      </c>
      <c r="H80" s="78">
        <v>90</v>
      </c>
      <c r="I80" s="188" t="s">
        <v>436</v>
      </c>
      <c r="J80" s="91" t="s">
        <v>436</v>
      </c>
      <c r="K80" s="188" t="s">
        <v>436</v>
      </c>
      <c r="L80" s="91" t="s">
        <v>436</v>
      </c>
      <c r="M80" s="81">
        <v>87</v>
      </c>
      <c r="N80" s="75">
        <v>3</v>
      </c>
      <c r="O80" s="79"/>
      <c r="P80" s="73" t="s">
        <v>452</v>
      </c>
      <c r="Q80" s="73" t="s">
        <v>452</v>
      </c>
      <c r="R80" s="73" t="s">
        <v>452</v>
      </c>
      <c r="S80" s="73"/>
      <c r="T80" s="73"/>
      <c r="U80" s="73"/>
      <c r="V80" s="73"/>
      <c r="W80" s="73"/>
      <c r="X80" s="73"/>
      <c r="Y80" s="41"/>
      <c r="Z80" s="82" t="str">
        <f>IF(SUM(M80,N80)=C80,"DONE"," ")</f>
        <v>DONE</v>
      </c>
      <c r="AA80" s="102">
        <v>45828</v>
      </c>
      <c r="AB80" s="102">
        <v>45844</v>
      </c>
      <c r="AC80" s="74" t="s">
        <v>457</v>
      </c>
      <c r="AD80" s="193"/>
      <c r="AE80" s="194"/>
      <c r="AF80" s="41"/>
      <c r="AG80" s="41"/>
      <c r="AH80" s="41"/>
      <c r="AI80"/>
    </row>
    <row r="81" spans="1:35" s="28" customFormat="1">
      <c r="A81" s="76">
        <v>97</v>
      </c>
      <c r="B81" s="230">
        <v>45825</v>
      </c>
      <c r="C81" s="240">
        <v>90</v>
      </c>
      <c r="D81" s="284"/>
      <c r="E81" s="236"/>
      <c r="F81" s="51" t="s">
        <v>469</v>
      </c>
      <c r="G81" s="188" t="s">
        <v>436</v>
      </c>
      <c r="H81" s="78">
        <v>90</v>
      </c>
      <c r="I81" s="188" t="s">
        <v>436</v>
      </c>
      <c r="J81" s="91" t="s">
        <v>436</v>
      </c>
      <c r="K81" s="188" t="s">
        <v>436</v>
      </c>
      <c r="L81" s="91" t="s">
        <v>436</v>
      </c>
      <c r="M81" s="81">
        <v>87</v>
      </c>
      <c r="N81" s="75">
        <v>3</v>
      </c>
      <c r="O81" s="79"/>
      <c r="P81" s="73" t="s">
        <v>452</v>
      </c>
      <c r="Q81" s="73" t="s">
        <v>452</v>
      </c>
      <c r="R81" s="73" t="s">
        <v>452</v>
      </c>
      <c r="S81" s="73"/>
      <c r="T81" s="73"/>
      <c r="U81" s="73"/>
      <c r="V81" s="73"/>
      <c r="W81" s="73"/>
      <c r="X81" s="73"/>
      <c r="Y81" s="41"/>
      <c r="Z81" s="82" t="str">
        <f>IF(SUM(M81,N81)=C81,"DONE"," ")</f>
        <v>DONE</v>
      </c>
      <c r="AA81" s="102">
        <v>45828</v>
      </c>
      <c r="AB81" s="102">
        <v>45845</v>
      </c>
      <c r="AC81" s="74" t="s">
        <v>457</v>
      </c>
      <c r="AD81" s="193"/>
      <c r="AE81" s="194"/>
      <c r="AF81" s="41"/>
      <c r="AG81" s="41"/>
      <c r="AH81" s="41"/>
      <c r="AI81"/>
    </row>
    <row r="82" spans="1:35" s="28" customFormat="1">
      <c r="A82" s="76">
        <v>98</v>
      </c>
      <c r="B82" s="230">
        <v>45825</v>
      </c>
      <c r="C82" s="240">
        <v>90</v>
      </c>
      <c r="D82" s="284"/>
      <c r="E82" s="236"/>
      <c r="F82" s="51" t="s">
        <v>472</v>
      </c>
      <c r="G82" s="188" t="s">
        <v>436</v>
      </c>
      <c r="H82" s="78">
        <v>90</v>
      </c>
      <c r="I82" s="188" t="s">
        <v>436</v>
      </c>
      <c r="J82" s="91" t="s">
        <v>436</v>
      </c>
      <c r="K82" s="188" t="s">
        <v>436</v>
      </c>
      <c r="L82" s="91" t="s">
        <v>436</v>
      </c>
      <c r="M82" s="78">
        <v>86</v>
      </c>
      <c r="N82" s="75">
        <v>4</v>
      </c>
      <c r="O82" s="79"/>
      <c r="P82" s="73" t="s">
        <v>452</v>
      </c>
      <c r="Q82" s="73" t="s">
        <v>452</v>
      </c>
      <c r="R82" s="73" t="s">
        <v>452</v>
      </c>
      <c r="S82" s="73"/>
      <c r="T82" s="73"/>
      <c r="U82" s="73"/>
      <c r="V82" s="73"/>
      <c r="W82" s="73"/>
      <c r="X82" s="73"/>
      <c r="Y82" s="41"/>
      <c r="Z82" s="82" t="str">
        <f>IF(SUM(M82,N82)=C82,"DONE"," ")</f>
        <v>DONE</v>
      </c>
      <c r="AA82" s="102">
        <v>45827</v>
      </c>
      <c r="AB82" s="102">
        <v>45844</v>
      </c>
      <c r="AC82" s="74" t="s">
        <v>479</v>
      </c>
      <c r="AD82" s="193"/>
      <c r="AE82" s="194"/>
      <c r="AF82" s="41"/>
      <c r="AG82" s="41"/>
      <c r="AH82" s="41"/>
      <c r="AI82"/>
    </row>
    <row r="83" spans="1:35" s="28" customFormat="1">
      <c r="A83" s="76">
        <v>102</v>
      </c>
      <c r="B83" s="230">
        <v>45826</v>
      </c>
      <c r="C83" s="240">
        <v>92</v>
      </c>
      <c r="D83" s="284"/>
      <c r="E83" s="236"/>
      <c r="F83" s="51" t="s">
        <v>472</v>
      </c>
      <c r="G83" s="188" t="s">
        <v>436</v>
      </c>
      <c r="H83" s="78">
        <v>92</v>
      </c>
      <c r="I83" s="188" t="s">
        <v>436</v>
      </c>
      <c r="J83" s="91" t="s">
        <v>436</v>
      </c>
      <c r="K83" s="188" t="s">
        <v>436</v>
      </c>
      <c r="L83" s="91" t="s">
        <v>436</v>
      </c>
      <c r="M83" s="81">
        <v>89</v>
      </c>
      <c r="N83" s="75">
        <v>3</v>
      </c>
      <c r="O83" s="79"/>
      <c r="P83" s="73" t="s">
        <v>452</v>
      </c>
      <c r="Q83" s="73" t="s">
        <v>452</v>
      </c>
      <c r="R83" s="73" t="s">
        <v>452</v>
      </c>
      <c r="S83" s="73"/>
      <c r="T83" s="73"/>
      <c r="U83" s="73"/>
      <c r="V83" s="73"/>
      <c r="W83" s="73"/>
      <c r="X83" s="73"/>
      <c r="Y83" s="41"/>
      <c r="Z83" s="82" t="str">
        <f>IF(SUM(M83,N83)=C83,"DONE"," ")</f>
        <v>DONE</v>
      </c>
      <c r="AA83" s="102">
        <v>45830</v>
      </c>
      <c r="AB83" s="102">
        <v>45844</v>
      </c>
      <c r="AC83" s="74" t="s">
        <v>480</v>
      </c>
      <c r="AD83" s="193"/>
      <c r="AE83" s="194"/>
      <c r="AF83" s="41"/>
      <c r="AG83" s="41"/>
      <c r="AH83" s="41"/>
      <c r="AI83"/>
    </row>
    <row r="84" spans="1:35">
      <c r="A84" s="26">
        <v>99</v>
      </c>
      <c r="B84" s="230">
        <v>45827</v>
      </c>
      <c r="C84" s="28">
        <v>90</v>
      </c>
      <c r="D84" s="286"/>
      <c r="E84" s="27"/>
      <c r="F84" s="28" t="s">
        <v>469</v>
      </c>
      <c r="G84" s="188" t="s">
        <v>436</v>
      </c>
      <c r="H84" s="30">
        <v>90</v>
      </c>
      <c r="I84" s="188" t="s">
        <v>436</v>
      </c>
      <c r="J84" s="91" t="s">
        <v>436</v>
      </c>
      <c r="K84" s="188" t="s">
        <v>436</v>
      </c>
      <c r="L84" s="91" t="s">
        <v>436</v>
      </c>
      <c r="M84" s="30">
        <v>86</v>
      </c>
      <c r="N84" s="75">
        <v>4</v>
      </c>
      <c r="Z84" s="82" t="str">
        <f>IF(SUM(M84,N84)=C84,"DONE"," ")</f>
        <v>DONE</v>
      </c>
      <c r="AA84" s="102">
        <v>45830</v>
      </c>
      <c r="AB84" s="102">
        <v>45844</v>
      </c>
      <c r="AC84" s="74" t="s">
        <v>457</v>
      </c>
      <c r="AD84" s="193"/>
      <c r="AE84" s="194"/>
    </row>
    <row r="85" spans="1:35">
      <c r="A85" s="26">
        <v>100</v>
      </c>
      <c r="B85" s="230">
        <v>45827</v>
      </c>
      <c r="C85" s="28">
        <v>90</v>
      </c>
      <c r="D85" s="286"/>
      <c r="E85" s="27"/>
      <c r="F85" s="28" t="s">
        <v>472</v>
      </c>
      <c r="G85" s="188" t="s">
        <v>436</v>
      </c>
      <c r="H85" s="30">
        <v>90</v>
      </c>
      <c r="I85" s="188" t="s">
        <v>436</v>
      </c>
      <c r="J85" s="91" t="s">
        <v>436</v>
      </c>
      <c r="K85" s="188" t="s">
        <v>436</v>
      </c>
      <c r="L85" s="91" t="s">
        <v>436</v>
      </c>
      <c r="M85" s="30">
        <v>88</v>
      </c>
      <c r="N85" s="75">
        <v>2</v>
      </c>
      <c r="Z85" s="82" t="str">
        <f>IF(SUM(M85,N85)=C85,"DONE"," ")</f>
        <v>DONE</v>
      </c>
      <c r="AA85" s="102">
        <v>45830</v>
      </c>
      <c r="AB85" s="102">
        <v>45844</v>
      </c>
      <c r="AC85" s="74" t="s">
        <v>457</v>
      </c>
      <c r="AD85" s="193"/>
      <c r="AE85" s="194"/>
    </row>
    <row r="86" spans="1:35">
      <c r="A86" s="26">
        <v>101</v>
      </c>
      <c r="B86" s="230">
        <v>45828</v>
      </c>
      <c r="C86" s="28">
        <v>90</v>
      </c>
      <c r="D86" s="286"/>
      <c r="E86" s="27"/>
      <c r="F86" s="28" t="s">
        <v>472</v>
      </c>
      <c r="G86" s="188" t="s">
        <v>436</v>
      </c>
      <c r="H86" s="30">
        <v>90</v>
      </c>
      <c r="I86" s="188" t="s">
        <v>436</v>
      </c>
      <c r="J86" s="91" t="s">
        <v>436</v>
      </c>
      <c r="K86" s="188" t="s">
        <v>436</v>
      </c>
      <c r="L86" s="91" t="s">
        <v>436</v>
      </c>
      <c r="M86" s="30">
        <v>86</v>
      </c>
      <c r="N86" s="75">
        <v>4</v>
      </c>
      <c r="Z86" s="82" t="str">
        <f>IF(SUM(M86,N86)=C86,"DONE"," ")</f>
        <v>DONE</v>
      </c>
      <c r="AA86" s="102">
        <v>45830</v>
      </c>
      <c r="AB86" s="102">
        <v>45844</v>
      </c>
      <c r="AC86" t="s">
        <v>457</v>
      </c>
      <c r="AE86" s="101"/>
    </row>
    <row r="87" spans="1:35">
      <c r="A87" s="26">
        <v>103</v>
      </c>
      <c r="B87" s="230">
        <v>45828</v>
      </c>
      <c r="C87" s="28">
        <v>91</v>
      </c>
      <c r="D87" s="286"/>
      <c r="E87" s="27"/>
      <c r="F87" s="28" t="s">
        <v>472</v>
      </c>
      <c r="G87" s="188" t="s">
        <v>436</v>
      </c>
      <c r="H87" s="30">
        <v>91</v>
      </c>
      <c r="I87" s="188" t="s">
        <v>436</v>
      </c>
      <c r="J87" s="91" t="s">
        <v>436</v>
      </c>
      <c r="K87" s="188" t="s">
        <v>436</v>
      </c>
      <c r="L87" s="91" t="s">
        <v>436</v>
      </c>
      <c r="M87" s="30">
        <v>91</v>
      </c>
      <c r="N87" s="75" t="str">
        <f>IF(M87=C87,"-","")</f>
        <v>-</v>
      </c>
      <c r="Z87" s="82" t="str">
        <f>IF(SUM(M87,N87)=C87,"DONE"," ")</f>
        <v>DONE</v>
      </c>
      <c r="AA87" s="102">
        <v>45830</v>
      </c>
      <c r="AB87" s="104"/>
      <c r="AC87" t="s">
        <v>481</v>
      </c>
      <c r="AE87" s="101"/>
    </row>
    <row r="88" spans="1:35">
      <c r="A88" s="26">
        <v>104</v>
      </c>
      <c r="B88" s="230">
        <v>45828</v>
      </c>
      <c r="C88" s="28">
        <v>90</v>
      </c>
      <c r="D88" s="286"/>
      <c r="E88" s="27"/>
      <c r="F88" s="28" t="s">
        <v>472</v>
      </c>
      <c r="G88" s="188" t="s">
        <v>436</v>
      </c>
      <c r="H88" s="30">
        <v>90</v>
      </c>
      <c r="I88" s="188" t="s">
        <v>436</v>
      </c>
      <c r="J88" s="91" t="s">
        <v>436</v>
      </c>
      <c r="K88" s="188" t="s">
        <v>436</v>
      </c>
      <c r="L88" s="91" t="s">
        <v>436</v>
      </c>
      <c r="M88" s="30">
        <v>90</v>
      </c>
      <c r="N88" s="75" t="str">
        <f>IF(M88=C88,"-","")</f>
        <v>-</v>
      </c>
      <c r="Z88" s="82" t="str">
        <f>IF(SUM(M88,N88)=C88,"DONE"," ")</f>
        <v>DONE</v>
      </c>
      <c r="AA88" s="102">
        <v>45831</v>
      </c>
      <c r="AB88" s="104"/>
      <c r="AC88" t="s">
        <v>457</v>
      </c>
      <c r="AE88" s="101"/>
    </row>
    <row r="89" spans="1:35">
      <c r="A89" s="26">
        <v>105</v>
      </c>
      <c r="B89" s="230">
        <v>45830</v>
      </c>
      <c r="C89" s="28">
        <v>90</v>
      </c>
      <c r="D89" s="286"/>
      <c r="E89" s="27"/>
      <c r="F89" s="28" t="s">
        <v>478</v>
      </c>
      <c r="G89" s="188" t="s">
        <v>436</v>
      </c>
      <c r="H89" s="30">
        <v>90</v>
      </c>
      <c r="I89" s="188" t="s">
        <v>436</v>
      </c>
      <c r="J89" s="91" t="s">
        <v>436</v>
      </c>
      <c r="K89" s="188" t="s">
        <v>436</v>
      </c>
      <c r="L89" s="91" t="s">
        <v>436</v>
      </c>
      <c r="M89" s="30">
        <v>88</v>
      </c>
      <c r="N89" s="75">
        <v>2</v>
      </c>
      <c r="Z89" s="82" t="str">
        <f>IF(SUM(M89,N89)=C89,"DONE"," ")</f>
        <v>DONE</v>
      </c>
      <c r="AA89" s="102">
        <v>45830</v>
      </c>
      <c r="AB89" s="104"/>
      <c r="AC89" t="s">
        <v>457</v>
      </c>
      <c r="AE89" s="101"/>
    </row>
    <row r="90" spans="1:35">
      <c r="A90" s="26">
        <v>106</v>
      </c>
      <c r="B90" s="230">
        <v>45830</v>
      </c>
      <c r="C90" s="28">
        <v>90</v>
      </c>
      <c r="D90" s="286"/>
      <c r="E90" s="27"/>
      <c r="F90" s="28" t="s">
        <v>482</v>
      </c>
      <c r="G90" s="188" t="s">
        <v>436</v>
      </c>
      <c r="H90" s="30">
        <v>90</v>
      </c>
      <c r="I90" s="188" t="s">
        <v>436</v>
      </c>
      <c r="J90" s="91" t="s">
        <v>436</v>
      </c>
      <c r="K90" s="188" t="s">
        <v>436</v>
      </c>
      <c r="L90" s="91" t="s">
        <v>436</v>
      </c>
      <c r="M90" s="30">
        <v>90</v>
      </c>
      <c r="N90" s="75" t="str">
        <f>IF(M90=C90,"-","")</f>
        <v>-</v>
      </c>
      <c r="Z90" s="82" t="str">
        <f>IF(SUM(M90,N90)=C90,"DONE"," ")</f>
        <v>DONE</v>
      </c>
      <c r="AA90" s="102">
        <v>45832</v>
      </c>
      <c r="AB90" s="104"/>
      <c r="AC90" t="s">
        <v>457</v>
      </c>
      <c r="AE90" s="101"/>
    </row>
    <row r="91" spans="1:35">
      <c r="A91" s="26">
        <v>108</v>
      </c>
      <c r="B91" s="230">
        <v>45830</v>
      </c>
      <c r="C91" s="28">
        <v>92</v>
      </c>
      <c r="D91" s="286"/>
      <c r="E91" s="27"/>
      <c r="F91" s="28" t="s">
        <v>472</v>
      </c>
      <c r="G91" s="188" t="s">
        <v>436</v>
      </c>
      <c r="H91" s="30">
        <v>92</v>
      </c>
      <c r="I91" s="188" t="s">
        <v>436</v>
      </c>
      <c r="J91" s="91" t="s">
        <v>436</v>
      </c>
      <c r="K91" s="188" t="s">
        <v>436</v>
      </c>
      <c r="L91" s="91" t="s">
        <v>436</v>
      </c>
      <c r="M91" s="30">
        <v>92</v>
      </c>
      <c r="N91" s="75" t="str">
        <f>IF(M91=C91,"-","")</f>
        <v>-</v>
      </c>
      <c r="Z91" s="82" t="str">
        <f>IF(SUM(M91,N91)=C91,"DONE"," ")</f>
        <v>DONE</v>
      </c>
      <c r="AA91" s="102">
        <v>45833</v>
      </c>
      <c r="AB91" s="104"/>
      <c r="AC91" s="27" t="s">
        <v>480</v>
      </c>
      <c r="AD91" s="140"/>
      <c r="AE91" s="96"/>
    </row>
    <row r="92" spans="1:35">
      <c r="A92" s="26">
        <v>107</v>
      </c>
      <c r="B92" s="230">
        <v>45830</v>
      </c>
      <c r="C92" s="28">
        <v>90</v>
      </c>
      <c r="D92" s="286"/>
      <c r="E92" s="27"/>
      <c r="F92" s="28" t="s">
        <v>469</v>
      </c>
      <c r="G92" s="188" t="s">
        <v>436</v>
      </c>
      <c r="H92" s="30">
        <v>90</v>
      </c>
      <c r="I92" s="188" t="s">
        <v>436</v>
      </c>
      <c r="J92" s="91" t="s">
        <v>436</v>
      </c>
      <c r="K92" s="188" t="s">
        <v>436</v>
      </c>
      <c r="L92" s="91" t="s">
        <v>436</v>
      </c>
      <c r="M92" s="30">
        <v>89</v>
      </c>
      <c r="N92" s="75">
        <v>1</v>
      </c>
      <c r="Z92" s="82" t="str">
        <f>IF(SUM(M92,N92)=C92,"DONE"," ")</f>
        <v>DONE</v>
      </c>
      <c r="AA92" s="102">
        <v>45832</v>
      </c>
      <c r="AB92" s="102">
        <v>45847</v>
      </c>
      <c r="AC92" t="s">
        <v>457</v>
      </c>
      <c r="AE92" s="101"/>
    </row>
    <row r="93" spans="1:35">
      <c r="A93" s="26">
        <v>109</v>
      </c>
      <c r="B93" s="230">
        <v>45831</v>
      </c>
      <c r="C93" s="28">
        <v>90</v>
      </c>
      <c r="D93" s="286"/>
      <c r="E93" s="27"/>
      <c r="F93" s="28" t="s">
        <v>483</v>
      </c>
      <c r="G93" s="188" t="s">
        <v>436</v>
      </c>
      <c r="H93" s="30">
        <v>90</v>
      </c>
      <c r="I93" s="188" t="s">
        <v>436</v>
      </c>
      <c r="J93" s="91" t="s">
        <v>436</v>
      </c>
      <c r="K93" s="188" t="s">
        <v>436</v>
      </c>
      <c r="L93" s="91" t="s">
        <v>436</v>
      </c>
      <c r="M93" s="30">
        <v>85</v>
      </c>
      <c r="N93" s="75">
        <v>5</v>
      </c>
      <c r="Z93" s="82" t="str">
        <f>IF(SUM(M93,N93)=C93,"DONE"," ")</f>
        <v>DONE</v>
      </c>
      <c r="AA93" s="102">
        <v>45834</v>
      </c>
      <c r="AB93" s="102">
        <v>45847</v>
      </c>
      <c r="AC93" t="s">
        <v>457</v>
      </c>
      <c r="AE93" s="101"/>
    </row>
    <row r="94" spans="1:35">
      <c r="A94" s="26">
        <v>110</v>
      </c>
      <c r="B94" s="230">
        <v>45831</v>
      </c>
      <c r="C94" s="28">
        <v>90</v>
      </c>
      <c r="D94" s="286"/>
      <c r="E94" s="27"/>
      <c r="F94" s="28" t="s">
        <v>469</v>
      </c>
      <c r="G94" s="188" t="s">
        <v>436</v>
      </c>
      <c r="H94" s="30">
        <v>90</v>
      </c>
      <c r="I94" s="188" t="s">
        <v>436</v>
      </c>
      <c r="J94" s="91" t="s">
        <v>436</v>
      </c>
      <c r="K94" s="188" t="s">
        <v>436</v>
      </c>
      <c r="L94" s="91" t="s">
        <v>436</v>
      </c>
      <c r="M94" s="30">
        <v>89</v>
      </c>
      <c r="N94" s="75">
        <v>1</v>
      </c>
      <c r="Z94" s="82" t="str">
        <f>IF(SUM(M94,N94)=C94,"DONE"," ")</f>
        <v>DONE</v>
      </c>
      <c r="AA94" s="102">
        <v>45833</v>
      </c>
      <c r="AB94" s="102">
        <v>45847</v>
      </c>
      <c r="AC94" t="s">
        <v>457</v>
      </c>
      <c r="AE94" s="101"/>
    </row>
    <row r="95" spans="1:35">
      <c r="A95" s="26">
        <v>111</v>
      </c>
      <c r="B95" s="230">
        <v>45832</v>
      </c>
      <c r="C95" s="28">
        <v>90</v>
      </c>
      <c r="D95" s="286"/>
      <c r="E95" s="27"/>
      <c r="F95" s="28" t="s">
        <v>472</v>
      </c>
      <c r="G95" s="188" t="s">
        <v>436</v>
      </c>
      <c r="H95" s="30">
        <v>90</v>
      </c>
      <c r="I95" s="188" t="s">
        <v>436</v>
      </c>
      <c r="J95" s="91" t="s">
        <v>436</v>
      </c>
      <c r="K95" s="188" t="s">
        <v>436</v>
      </c>
      <c r="L95" s="91" t="s">
        <v>436</v>
      </c>
      <c r="M95" s="30">
        <v>89</v>
      </c>
      <c r="N95" s="75">
        <v>1</v>
      </c>
      <c r="Z95" s="82" t="str">
        <f>IF(SUM(M95,N95)=C95,"DONE"," ")</f>
        <v>DONE</v>
      </c>
      <c r="AA95" s="102">
        <v>45834</v>
      </c>
      <c r="AB95" s="102">
        <v>45847</v>
      </c>
      <c r="AC95" t="s">
        <v>457</v>
      </c>
      <c r="AE95" s="101"/>
    </row>
    <row r="96" spans="1:35">
      <c r="A96" s="26">
        <v>112</v>
      </c>
      <c r="B96" s="230">
        <v>45833</v>
      </c>
      <c r="C96" s="28">
        <v>90</v>
      </c>
      <c r="D96" s="286"/>
      <c r="E96" s="27"/>
      <c r="F96" s="28" t="s">
        <v>484</v>
      </c>
      <c r="G96" s="188" t="s">
        <v>436</v>
      </c>
      <c r="H96" s="30">
        <v>90</v>
      </c>
      <c r="I96" s="188" t="s">
        <v>436</v>
      </c>
      <c r="J96" s="91" t="s">
        <v>436</v>
      </c>
      <c r="K96" s="188" t="s">
        <v>436</v>
      </c>
      <c r="L96" s="91" t="s">
        <v>436</v>
      </c>
      <c r="M96" s="30">
        <v>88</v>
      </c>
      <c r="N96" s="75">
        <v>2</v>
      </c>
      <c r="Z96" s="82" t="str">
        <f>IF(SUM(M96,N96)=C96,"DONE"," ")</f>
        <v>DONE</v>
      </c>
      <c r="AA96" s="102">
        <v>45835</v>
      </c>
      <c r="AB96" s="102">
        <v>45852</v>
      </c>
      <c r="AC96" t="s">
        <v>457</v>
      </c>
      <c r="AE96" s="101"/>
    </row>
    <row r="97" spans="1:31">
      <c r="A97" s="26">
        <v>113</v>
      </c>
      <c r="B97" s="230">
        <v>45834</v>
      </c>
      <c r="C97" s="28">
        <v>83</v>
      </c>
      <c r="D97" s="286"/>
      <c r="E97" s="27"/>
      <c r="F97" s="28" t="s">
        <v>485</v>
      </c>
      <c r="G97" s="188" t="s">
        <v>436</v>
      </c>
      <c r="H97" s="30">
        <v>83</v>
      </c>
      <c r="I97" s="188" t="s">
        <v>436</v>
      </c>
      <c r="J97" s="91" t="s">
        <v>436</v>
      </c>
      <c r="K97" s="188" t="s">
        <v>436</v>
      </c>
      <c r="L97" s="91" t="s">
        <v>436</v>
      </c>
      <c r="M97" s="30">
        <v>81</v>
      </c>
      <c r="N97" s="75">
        <v>2</v>
      </c>
      <c r="Z97" s="82" t="str">
        <f>IF(SUM(M97,N97)=C97,"DONE"," ")</f>
        <v>DONE</v>
      </c>
      <c r="AA97" s="102">
        <v>45835</v>
      </c>
      <c r="AB97" s="102">
        <v>45848</v>
      </c>
      <c r="AC97" t="s">
        <v>486</v>
      </c>
      <c r="AE97" s="101"/>
    </row>
    <row r="98" spans="1:31">
      <c r="A98" s="26">
        <v>114</v>
      </c>
      <c r="B98" s="230">
        <v>45834</v>
      </c>
      <c r="C98" s="28">
        <v>90</v>
      </c>
      <c r="D98" s="286"/>
      <c r="E98" s="27"/>
      <c r="F98" s="28" t="s">
        <v>483</v>
      </c>
      <c r="G98" s="188" t="s">
        <v>436</v>
      </c>
      <c r="H98" s="30">
        <v>90</v>
      </c>
      <c r="I98" s="188" t="s">
        <v>436</v>
      </c>
      <c r="J98" s="91" t="s">
        <v>436</v>
      </c>
      <c r="K98" s="188" t="s">
        <v>436</v>
      </c>
      <c r="L98" s="91" t="s">
        <v>436</v>
      </c>
      <c r="M98" s="30">
        <v>89</v>
      </c>
      <c r="N98" s="75">
        <v>1</v>
      </c>
      <c r="Z98" s="82" t="str">
        <f>IF(SUM(M98,N98)=C98,"DONE"," ")</f>
        <v>DONE</v>
      </c>
      <c r="AA98" s="102">
        <v>45838</v>
      </c>
      <c r="AB98" s="102">
        <v>45847</v>
      </c>
      <c r="AC98" t="s">
        <v>457</v>
      </c>
      <c r="AE98" s="101"/>
    </row>
    <row r="99" spans="1:31">
      <c r="A99" s="26">
        <v>115</v>
      </c>
      <c r="B99" s="230">
        <v>45835</v>
      </c>
      <c r="C99" s="28">
        <v>90</v>
      </c>
      <c r="D99" s="286"/>
      <c r="E99" s="27"/>
      <c r="F99" s="28" t="s">
        <v>472</v>
      </c>
      <c r="G99" s="188" t="s">
        <v>436</v>
      </c>
      <c r="H99" s="30">
        <v>90</v>
      </c>
      <c r="I99" s="188" t="s">
        <v>436</v>
      </c>
      <c r="J99" s="91" t="s">
        <v>436</v>
      </c>
      <c r="K99" s="188" t="s">
        <v>436</v>
      </c>
      <c r="L99" s="91" t="s">
        <v>436</v>
      </c>
      <c r="M99" s="30">
        <v>90</v>
      </c>
      <c r="N99" s="75" t="str">
        <f>IF(M99=C99,"-","")</f>
        <v>-</v>
      </c>
      <c r="Z99" s="82" t="str">
        <f>IF(SUM(M99,N99)=C99,"DONE"," ")</f>
        <v>DONE</v>
      </c>
      <c r="AA99" s="102">
        <v>45838</v>
      </c>
      <c r="AB99" s="104"/>
      <c r="AC99" t="s">
        <v>457</v>
      </c>
      <c r="AE99" s="101"/>
    </row>
    <row r="100" spans="1:31">
      <c r="A100" s="26">
        <v>116</v>
      </c>
      <c r="B100" s="230">
        <v>45835</v>
      </c>
      <c r="C100" s="28">
        <v>90</v>
      </c>
      <c r="D100" s="286"/>
      <c r="E100" s="27"/>
      <c r="F100" s="28" t="s">
        <v>469</v>
      </c>
      <c r="G100" s="188" t="s">
        <v>436</v>
      </c>
      <c r="H100" s="30">
        <v>90</v>
      </c>
      <c r="I100" s="188" t="s">
        <v>436</v>
      </c>
      <c r="J100" s="91" t="s">
        <v>436</v>
      </c>
      <c r="K100" s="188" t="s">
        <v>436</v>
      </c>
      <c r="L100" s="91" t="s">
        <v>436</v>
      </c>
      <c r="M100" s="30">
        <v>88</v>
      </c>
      <c r="N100" s="75">
        <v>2</v>
      </c>
      <c r="Z100" s="82" t="str">
        <f>IF(SUM(M100,N100)=C100,"DONE"," ")</f>
        <v>DONE</v>
      </c>
      <c r="AA100" s="102">
        <v>45838</v>
      </c>
      <c r="AB100" s="102">
        <v>45854</v>
      </c>
      <c r="AC100" t="s">
        <v>487</v>
      </c>
      <c r="AE100" s="101"/>
    </row>
    <row r="101" spans="1:31">
      <c r="A101" s="26">
        <v>117</v>
      </c>
      <c r="B101" s="230">
        <v>45836</v>
      </c>
      <c r="C101" s="28">
        <v>90</v>
      </c>
      <c r="D101" s="286"/>
      <c r="E101" s="27"/>
      <c r="F101" s="28" t="s">
        <v>477</v>
      </c>
      <c r="G101" s="188" t="s">
        <v>436</v>
      </c>
      <c r="H101" s="30">
        <v>90</v>
      </c>
      <c r="I101" s="188" t="s">
        <v>436</v>
      </c>
      <c r="J101" s="91" t="s">
        <v>436</v>
      </c>
      <c r="K101" s="188" t="s">
        <v>436</v>
      </c>
      <c r="L101" s="91" t="s">
        <v>436</v>
      </c>
      <c r="M101" s="30">
        <v>88</v>
      </c>
      <c r="N101" s="75">
        <v>2</v>
      </c>
      <c r="Z101" s="82" t="str">
        <f>IF(SUM(M101,N101)=C101,"DONE"," ")</f>
        <v>DONE</v>
      </c>
      <c r="AA101" s="102">
        <v>45839</v>
      </c>
      <c r="AB101" s="102">
        <v>45847</v>
      </c>
      <c r="AC101" t="s">
        <v>457</v>
      </c>
      <c r="AE101" s="101"/>
    </row>
    <row r="102" spans="1:31">
      <c r="A102" s="26">
        <v>118</v>
      </c>
      <c r="B102" s="230">
        <v>45836</v>
      </c>
      <c r="C102" s="28">
        <v>90</v>
      </c>
      <c r="D102" s="286"/>
      <c r="E102" s="27"/>
      <c r="F102" s="28" t="s">
        <v>472</v>
      </c>
      <c r="G102" s="188" t="s">
        <v>436</v>
      </c>
      <c r="H102" s="30">
        <v>90</v>
      </c>
      <c r="I102" s="188" t="s">
        <v>436</v>
      </c>
      <c r="J102" s="91" t="s">
        <v>436</v>
      </c>
      <c r="K102" s="188" t="s">
        <v>436</v>
      </c>
      <c r="L102" s="91" t="s">
        <v>436</v>
      </c>
      <c r="M102" s="30">
        <v>89</v>
      </c>
      <c r="N102" s="75">
        <v>1</v>
      </c>
      <c r="Z102" s="82" t="str">
        <f>IF(SUM(M102,N102)=C102,"DONE"," ")</f>
        <v>DONE</v>
      </c>
      <c r="AA102" s="102">
        <v>45839</v>
      </c>
      <c r="AB102" s="102">
        <v>45847</v>
      </c>
      <c r="AC102" t="s">
        <v>457</v>
      </c>
      <c r="AE102" s="101"/>
    </row>
    <row r="103" spans="1:31">
      <c r="A103" s="26">
        <v>119</v>
      </c>
      <c r="B103" s="230">
        <v>45837</v>
      </c>
      <c r="C103" s="28">
        <v>90</v>
      </c>
      <c r="D103" s="286"/>
      <c r="E103" s="27"/>
      <c r="F103" s="28" t="s">
        <v>469</v>
      </c>
      <c r="G103" s="188" t="s">
        <v>436</v>
      </c>
      <c r="H103" s="30">
        <v>90</v>
      </c>
      <c r="I103" s="188" t="s">
        <v>436</v>
      </c>
      <c r="J103" s="91" t="s">
        <v>436</v>
      </c>
      <c r="K103" s="188" t="s">
        <v>436</v>
      </c>
      <c r="L103" s="91" t="s">
        <v>436</v>
      </c>
      <c r="M103" s="30">
        <v>89</v>
      </c>
      <c r="N103" s="75">
        <v>1</v>
      </c>
      <c r="Z103" s="82" t="str">
        <f>IF(SUM(M103,N103)=C103,"DONE"," ")</f>
        <v>DONE</v>
      </c>
      <c r="AA103" s="102">
        <v>45838</v>
      </c>
      <c r="AB103" s="102">
        <v>45847</v>
      </c>
      <c r="AC103" t="s">
        <v>457</v>
      </c>
      <c r="AE103" s="101"/>
    </row>
    <row r="104" spans="1:31">
      <c r="A104" s="26">
        <v>120</v>
      </c>
      <c r="B104" s="230">
        <v>45837</v>
      </c>
      <c r="C104" s="28">
        <v>90</v>
      </c>
      <c r="D104" s="286"/>
      <c r="E104" s="27"/>
      <c r="F104" s="28" t="s">
        <v>478</v>
      </c>
      <c r="G104" s="188" t="s">
        <v>436</v>
      </c>
      <c r="H104" s="30">
        <v>90</v>
      </c>
      <c r="I104" s="188" t="s">
        <v>436</v>
      </c>
      <c r="J104" s="91" t="s">
        <v>436</v>
      </c>
      <c r="K104" s="188" t="s">
        <v>436</v>
      </c>
      <c r="L104" s="91" t="s">
        <v>436</v>
      </c>
      <c r="M104" s="30">
        <v>88</v>
      </c>
      <c r="N104" s="75">
        <v>2</v>
      </c>
      <c r="Z104" s="82" t="str">
        <f>IF(SUM(M104,N104)=C104,"DONE"," ")</f>
        <v>DONE</v>
      </c>
      <c r="AA104" s="102">
        <v>45839</v>
      </c>
      <c r="AB104" s="102">
        <v>45847</v>
      </c>
      <c r="AC104" t="s">
        <v>457</v>
      </c>
      <c r="AE104" s="101"/>
    </row>
    <row r="105" spans="1:31">
      <c r="A105" s="26">
        <v>125</v>
      </c>
      <c r="B105" s="230">
        <v>45838</v>
      </c>
      <c r="C105" s="28">
        <v>90</v>
      </c>
      <c r="D105" s="286"/>
      <c r="E105" s="27"/>
      <c r="F105" s="28" t="s">
        <v>477</v>
      </c>
      <c r="G105" s="188" t="s">
        <v>436</v>
      </c>
      <c r="H105" s="30">
        <v>90</v>
      </c>
      <c r="I105" s="188" t="s">
        <v>436</v>
      </c>
      <c r="J105" s="91" t="s">
        <v>436</v>
      </c>
      <c r="K105" s="188" t="s">
        <v>436</v>
      </c>
      <c r="L105" s="91" t="s">
        <v>436</v>
      </c>
      <c r="M105" s="30">
        <v>90</v>
      </c>
      <c r="N105" s="75" t="str">
        <f>IF(M105=C105,"-","")</f>
        <v>-</v>
      </c>
      <c r="Z105" s="82" t="str">
        <f>IF(SUM(M105,N105)=C105,"DONE"," ")</f>
        <v>DONE</v>
      </c>
      <c r="AA105" s="102">
        <v>45841</v>
      </c>
      <c r="AB105" s="104"/>
      <c r="AC105" t="s">
        <v>457</v>
      </c>
      <c r="AE105" s="101"/>
    </row>
    <row r="106" spans="1:31">
      <c r="A106" s="26">
        <v>126</v>
      </c>
      <c r="B106" s="230">
        <v>45838</v>
      </c>
      <c r="C106" s="28">
        <v>90</v>
      </c>
      <c r="D106" s="286"/>
      <c r="E106" s="27"/>
      <c r="F106" s="28" t="s">
        <v>469</v>
      </c>
      <c r="G106" s="188" t="s">
        <v>436</v>
      </c>
      <c r="H106" s="30">
        <v>90</v>
      </c>
      <c r="I106" s="188" t="s">
        <v>436</v>
      </c>
      <c r="J106" s="91" t="s">
        <v>436</v>
      </c>
      <c r="K106" s="188" t="s">
        <v>436</v>
      </c>
      <c r="L106" s="91" t="s">
        <v>436</v>
      </c>
      <c r="M106" s="30">
        <v>86</v>
      </c>
      <c r="N106" s="75">
        <v>4</v>
      </c>
      <c r="Z106" s="82" t="str">
        <f>IF(SUM(M106,N106)=C106,"DONE"," ")</f>
        <v>DONE</v>
      </c>
      <c r="AA106" s="102">
        <v>45840</v>
      </c>
      <c r="AB106" s="102">
        <v>45847</v>
      </c>
      <c r="AC106" t="s">
        <v>457</v>
      </c>
      <c r="AE106" s="101"/>
    </row>
    <row r="107" spans="1:31">
      <c r="A107" s="26">
        <v>121</v>
      </c>
      <c r="B107" s="230">
        <v>45838</v>
      </c>
      <c r="C107" s="28">
        <v>90</v>
      </c>
      <c r="D107" s="286"/>
      <c r="E107" s="27"/>
      <c r="F107" s="28" t="s">
        <v>472</v>
      </c>
      <c r="G107" s="188" t="s">
        <v>436</v>
      </c>
      <c r="H107" s="30">
        <v>90</v>
      </c>
      <c r="I107" s="188" t="s">
        <v>436</v>
      </c>
      <c r="J107" s="91" t="s">
        <v>436</v>
      </c>
      <c r="K107" s="188" t="s">
        <v>436</v>
      </c>
      <c r="L107" s="91" t="s">
        <v>436</v>
      </c>
      <c r="M107" s="30">
        <v>89</v>
      </c>
      <c r="N107" s="75">
        <v>1</v>
      </c>
      <c r="Z107" s="82" t="str">
        <f>IF(SUM(M107,N107)=C107,"DONE"," ")</f>
        <v>DONE</v>
      </c>
      <c r="AA107" s="102">
        <v>45841</v>
      </c>
      <c r="AB107" s="102">
        <v>45847</v>
      </c>
      <c r="AC107" t="s">
        <v>488</v>
      </c>
      <c r="AE107" s="101"/>
    </row>
    <row r="108" spans="1:31">
      <c r="A108" s="26">
        <v>123</v>
      </c>
      <c r="B108" s="231">
        <v>45841</v>
      </c>
      <c r="C108" s="28">
        <v>90</v>
      </c>
      <c r="D108" s="286"/>
      <c r="E108" s="27"/>
      <c r="F108" s="28" t="s">
        <v>472</v>
      </c>
      <c r="G108" s="188" t="s">
        <v>436</v>
      </c>
      <c r="H108" s="30">
        <v>90</v>
      </c>
      <c r="I108" s="188" t="s">
        <v>436</v>
      </c>
      <c r="J108" s="91" t="s">
        <v>436</v>
      </c>
      <c r="K108" s="188" t="s">
        <v>436</v>
      </c>
      <c r="L108" s="91" t="s">
        <v>436</v>
      </c>
      <c r="M108" s="30">
        <v>89</v>
      </c>
      <c r="N108" s="75">
        <v>1</v>
      </c>
      <c r="Z108" s="82" t="str">
        <f>IF(SUM(M108,N108)=C108,"DONE"," ")</f>
        <v>DONE</v>
      </c>
      <c r="AA108" s="102">
        <v>45844</v>
      </c>
      <c r="AB108" s="102">
        <v>45880</v>
      </c>
      <c r="AC108" t="s">
        <v>489</v>
      </c>
      <c r="AE108" s="101"/>
    </row>
    <row r="109" spans="1:31">
      <c r="A109" s="26">
        <v>124</v>
      </c>
      <c r="B109" s="231">
        <v>45841</v>
      </c>
      <c r="C109" s="28">
        <v>90</v>
      </c>
      <c r="D109" s="286"/>
      <c r="E109" s="27"/>
      <c r="F109" s="28" t="s">
        <v>483</v>
      </c>
      <c r="G109" s="188" t="s">
        <v>436</v>
      </c>
      <c r="H109" s="30">
        <v>90</v>
      </c>
      <c r="I109" s="188" t="s">
        <v>436</v>
      </c>
      <c r="J109" s="91" t="s">
        <v>436</v>
      </c>
      <c r="K109" s="188" t="s">
        <v>436</v>
      </c>
      <c r="L109" s="91" t="s">
        <v>436</v>
      </c>
      <c r="M109" s="30">
        <v>82</v>
      </c>
      <c r="N109" s="75">
        <v>8</v>
      </c>
      <c r="Z109" s="82" t="str">
        <f>IF(SUM(M109,N109)=C109,"DONE"," ")</f>
        <v>DONE</v>
      </c>
      <c r="AA109" s="102">
        <v>45844</v>
      </c>
      <c r="AB109" s="102">
        <v>45880</v>
      </c>
      <c r="AC109" t="s">
        <v>490</v>
      </c>
      <c r="AE109" s="101"/>
    </row>
    <row r="110" spans="1:31">
      <c r="A110" s="26">
        <v>127</v>
      </c>
      <c r="B110" s="232">
        <v>45841</v>
      </c>
      <c r="C110" s="28">
        <v>90</v>
      </c>
      <c r="D110" s="286"/>
      <c r="E110" s="27"/>
      <c r="F110" s="28" t="s">
        <v>473</v>
      </c>
      <c r="G110" s="188" t="s">
        <v>436</v>
      </c>
      <c r="H110" s="30">
        <v>90</v>
      </c>
      <c r="I110" s="188" t="s">
        <v>436</v>
      </c>
      <c r="J110" s="91" t="s">
        <v>436</v>
      </c>
      <c r="K110" s="188" t="s">
        <v>436</v>
      </c>
      <c r="L110" s="91" t="s">
        <v>436</v>
      </c>
      <c r="M110" s="30">
        <v>87</v>
      </c>
      <c r="N110" s="75">
        <v>3</v>
      </c>
      <c r="Z110" s="82" t="str">
        <f>IF(SUM(M110,N110)=C110,"DONE"," ")</f>
        <v>DONE</v>
      </c>
      <c r="AA110" s="195">
        <v>45848</v>
      </c>
      <c r="AB110" s="108">
        <v>46050</v>
      </c>
      <c r="AC110" t="s">
        <v>489</v>
      </c>
      <c r="AE110" s="101"/>
    </row>
    <row r="111" spans="1:31">
      <c r="A111" s="26">
        <v>122</v>
      </c>
      <c r="B111" s="231">
        <v>45841</v>
      </c>
      <c r="C111" s="28">
        <v>90</v>
      </c>
      <c r="D111" s="286"/>
      <c r="E111" s="27"/>
      <c r="F111" s="28" t="s">
        <v>478</v>
      </c>
      <c r="G111" s="188" t="s">
        <v>436</v>
      </c>
      <c r="H111" s="30">
        <v>90</v>
      </c>
      <c r="I111" s="188" t="s">
        <v>436</v>
      </c>
      <c r="J111" s="91" t="s">
        <v>436</v>
      </c>
      <c r="K111" s="188" t="s">
        <v>436</v>
      </c>
      <c r="L111" s="91" t="s">
        <v>436</v>
      </c>
      <c r="M111" s="30">
        <v>85</v>
      </c>
      <c r="N111" s="75">
        <v>5</v>
      </c>
      <c r="Z111" s="82" t="str">
        <f>IF(SUM(M111,N111)=C111,"DONE"," ")</f>
        <v>DONE</v>
      </c>
      <c r="AA111" s="102">
        <v>45844</v>
      </c>
      <c r="AB111" s="102">
        <v>45880</v>
      </c>
      <c r="AC111" t="s">
        <v>489</v>
      </c>
      <c r="AE111" s="101"/>
    </row>
    <row r="112" spans="1:31">
      <c r="A112" s="26">
        <v>128</v>
      </c>
      <c r="B112" s="231">
        <v>45842</v>
      </c>
      <c r="C112" s="28">
        <v>90</v>
      </c>
      <c r="D112" s="286"/>
      <c r="E112" s="27"/>
      <c r="F112" s="28" t="s">
        <v>483</v>
      </c>
      <c r="G112" s="188" t="s">
        <v>436</v>
      </c>
      <c r="H112" s="30">
        <v>90</v>
      </c>
      <c r="I112" s="188" t="s">
        <v>436</v>
      </c>
      <c r="J112" s="91" t="s">
        <v>436</v>
      </c>
      <c r="K112" s="188" t="s">
        <v>436</v>
      </c>
      <c r="L112" s="91" t="s">
        <v>436</v>
      </c>
      <c r="M112" s="30">
        <v>87</v>
      </c>
      <c r="N112" s="75">
        <v>3</v>
      </c>
      <c r="Z112" s="82" t="str">
        <f>IF(SUM(M112,N112)=C112,"DONE"," ")</f>
        <v>DONE</v>
      </c>
      <c r="AA112" s="102">
        <v>45848</v>
      </c>
      <c r="AB112" s="102">
        <v>45880</v>
      </c>
      <c r="AC112" t="s">
        <v>489</v>
      </c>
      <c r="AE112" s="101"/>
    </row>
    <row r="113" spans="1:31">
      <c r="A113" s="26">
        <v>129</v>
      </c>
      <c r="B113" s="231">
        <v>45842</v>
      </c>
      <c r="C113" s="28">
        <v>90</v>
      </c>
      <c r="D113" s="286"/>
      <c r="E113" s="27"/>
      <c r="F113" s="28" t="s">
        <v>491</v>
      </c>
      <c r="G113" s="188" t="s">
        <v>436</v>
      </c>
      <c r="H113" s="30">
        <v>90</v>
      </c>
      <c r="I113" s="188" t="s">
        <v>436</v>
      </c>
      <c r="J113" s="91" t="s">
        <v>436</v>
      </c>
      <c r="K113" s="188" t="s">
        <v>436</v>
      </c>
      <c r="L113" s="91" t="s">
        <v>436</v>
      </c>
      <c r="M113" s="30">
        <v>88</v>
      </c>
      <c r="N113" s="75">
        <v>2</v>
      </c>
      <c r="Z113" s="82" t="str">
        <f>IF(SUM(M113,N113)=C113,"DONE"," ")</f>
        <v>DONE</v>
      </c>
      <c r="AA113" s="102">
        <v>45844</v>
      </c>
      <c r="AB113" s="102">
        <v>45880</v>
      </c>
      <c r="AC113" t="s">
        <v>489</v>
      </c>
      <c r="AE113" s="101"/>
    </row>
    <row r="114" spans="1:31">
      <c r="A114" s="26">
        <v>130</v>
      </c>
      <c r="B114" s="231">
        <v>45843</v>
      </c>
      <c r="C114" s="28">
        <v>90</v>
      </c>
      <c r="D114" s="286"/>
      <c r="E114" s="27"/>
      <c r="F114" s="28" t="s">
        <v>469</v>
      </c>
      <c r="G114" s="188" t="s">
        <v>436</v>
      </c>
      <c r="H114" s="30">
        <v>90</v>
      </c>
      <c r="I114" s="188" t="s">
        <v>436</v>
      </c>
      <c r="J114" s="91" t="s">
        <v>436</v>
      </c>
      <c r="K114" s="188" t="s">
        <v>436</v>
      </c>
      <c r="L114" s="91" t="s">
        <v>436</v>
      </c>
      <c r="M114" s="30">
        <v>88</v>
      </c>
      <c r="N114" s="75">
        <v>2</v>
      </c>
      <c r="Z114" s="82" t="str">
        <f>IF(SUM(M114,N114)=C114,"DONE"," ")</f>
        <v>DONE</v>
      </c>
      <c r="AA114" s="102">
        <v>45845</v>
      </c>
      <c r="AB114" s="102">
        <v>45880</v>
      </c>
      <c r="AC114" t="s">
        <v>489</v>
      </c>
      <c r="AE114" s="101"/>
    </row>
    <row r="115" spans="1:31">
      <c r="A115" s="26">
        <v>131</v>
      </c>
      <c r="B115" s="231">
        <v>45843</v>
      </c>
      <c r="C115" s="28">
        <v>90</v>
      </c>
      <c r="D115" s="286"/>
      <c r="E115" s="27"/>
      <c r="F115" s="28" t="s">
        <v>470</v>
      </c>
      <c r="G115" s="188" t="s">
        <v>436</v>
      </c>
      <c r="H115" s="30">
        <v>90</v>
      </c>
      <c r="I115" s="188" t="s">
        <v>436</v>
      </c>
      <c r="J115" s="91" t="s">
        <v>436</v>
      </c>
      <c r="K115" s="188" t="s">
        <v>436</v>
      </c>
      <c r="L115" s="91" t="s">
        <v>436</v>
      </c>
      <c r="M115" s="30">
        <v>89</v>
      </c>
      <c r="N115" s="75">
        <v>1</v>
      </c>
      <c r="Z115" s="82" t="str">
        <f>IF(SUM(M115,N115)=C115,"DONE"," ")</f>
        <v>DONE</v>
      </c>
      <c r="AA115" s="102">
        <v>45846</v>
      </c>
      <c r="AB115" s="102">
        <v>45880</v>
      </c>
      <c r="AC115" t="s">
        <v>489</v>
      </c>
      <c r="AE115" s="101"/>
    </row>
    <row r="116" spans="1:31">
      <c r="A116" s="26">
        <v>132</v>
      </c>
      <c r="B116" s="231">
        <v>45843</v>
      </c>
      <c r="C116" s="28">
        <v>90</v>
      </c>
      <c r="D116" s="286"/>
      <c r="E116" s="27"/>
      <c r="F116" s="28" t="s">
        <v>472</v>
      </c>
      <c r="G116" s="188" t="s">
        <v>436</v>
      </c>
      <c r="H116" s="30">
        <v>90</v>
      </c>
      <c r="I116" s="188" t="s">
        <v>436</v>
      </c>
      <c r="J116" s="91" t="s">
        <v>436</v>
      </c>
      <c r="K116" s="188" t="s">
        <v>436</v>
      </c>
      <c r="L116" s="91" t="s">
        <v>436</v>
      </c>
      <c r="M116" s="30">
        <v>84</v>
      </c>
      <c r="N116" s="75">
        <v>6</v>
      </c>
      <c r="Z116" s="82" t="str">
        <f>IF(SUM(M116,N116)=C116,"DONE"," ")</f>
        <v>DONE</v>
      </c>
      <c r="AA116" s="102">
        <v>45846</v>
      </c>
      <c r="AB116" s="102">
        <v>45926</v>
      </c>
      <c r="AC116" t="s">
        <v>492</v>
      </c>
      <c r="AE116" s="101"/>
    </row>
    <row r="117" spans="1:31">
      <c r="A117" s="26">
        <v>133</v>
      </c>
      <c r="B117" s="231">
        <v>45848</v>
      </c>
      <c r="C117" s="28">
        <v>90</v>
      </c>
      <c r="D117" s="286"/>
      <c r="E117" s="27"/>
      <c r="F117" s="28" t="s">
        <v>467</v>
      </c>
      <c r="G117" s="188" t="s">
        <v>436</v>
      </c>
      <c r="H117" s="30">
        <v>90</v>
      </c>
      <c r="I117" s="188" t="s">
        <v>436</v>
      </c>
      <c r="J117" s="91" t="s">
        <v>436</v>
      </c>
      <c r="K117" s="188" t="s">
        <v>436</v>
      </c>
      <c r="L117" s="91" t="s">
        <v>436</v>
      </c>
      <c r="M117" s="30">
        <v>88</v>
      </c>
      <c r="N117" s="75">
        <v>2</v>
      </c>
      <c r="Z117" s="82" t="str">
        <f>IF(SUM(M117,N117)=C117,"DONE"," ")</f>
        <v>DONE</v>
      </c>
      <c r="AA117" s="102">
        <v>45852</v>
      </c>
      <c r="AB117" s="102">
        <v>45926</v>
      </c>
      <c r="AC117" t="s">
        <v>493</v>
      </c>
      <c r="AE117" s="101"/>
    </row>
    <row r="118" spans="1:31">
      <c r="A118" s="26">
        <v>134</v>
      </c>
      <c r="B118" s="231">
        <v>45848</v>
      </c>
      <c r="C118" s="28">
        <v>90</v>
      </c>
      <c r="D118" s="286"/>
      <c r="E118" s="27"/>
      <c r="F118" s="28" t="s">
        <v>494</v>
      </c>
      <c r="G118" s="188" t="s">
        <v>436</v>
      </c>
      <c r="H118" s="30">
        <v>90</v>
      </c>
      <c r="I118" s="188" t="s">
        <v>436</v>
      </c>
      <c r="J118" s="91" t="s">
        <v>436</v>
      </c>
      <c r="K118" s="188" t="s">
        <v>436</v>
      </c>
      <c r="L118" s="91" t="s">
        <v>436</v>
      </c>
      <c r="M118" s="30">
        <v>85</v>
      </c>
      <c r="N118" s="75">
        <v>5</v>
      </c>
      <c r="Z118" s="82" t="str">
        <f>IF(SUM(M118,N118)=C118,"DONE"," ")</f>
        <v>DONE</v>
      </c>
      <c r="AA118" s="102">
        <v>45852</v>
      </c>
      <c r="AB118" s="102">
        <v>45880</v>
      </c>
      <c r="AC118" t="s">
        <v>495</v>
      </c>
      <c r="AE118" s="101"/>
    </row>
    <row r="119" spans="1:31">
      <c r="A119" s="26">
        <v>135</v>
      </c>
      <c r="B119" s="231">
        <v>45849</v>
      </c>
      <c r="C119" s="28">
        <v>90</v>
      </c>
      <c r="D119" s="286"/>
      <c r="E119" s="27"/>
      <c r="F119" s="28" t="s">
        <v>496</v>
      </c>
      <c r="G119" s="188" t="s">
        <v>436</v>
      </c>
      <c r="H119" s="30">
        <v>90</v>
      </c>
      <c r="I119" s="188" t="s">
        <v>436</v>
      </c>
      <c r="J119" s="91" t="s">
        <v>436</v>
      </c>
      <c r="K119" s="188" t="s">
        <v>436</v>
      </c>
      <c r="L119" s="91" t="s">
        <v>436</v>
      </c>
      <c r="M119" s="30">
        <v>90</v>
      </c>
      <c r="N119" s="75" t="str">
        <f>IF(M119=C119,"-","")</f>
        <v>-</v>
      </c>
      <c r="Z119" s="82" t="str">
        <f>IF(SUM(M119,N119)=C119,"DONE"," ")</f>
        <v>DONE</v>
      </c>
      <c r="AA119" s="102">
        <v>45852</v>
      </c>
      <c r="AB119" s="103"/>
      <c r="AC119" t="s">
        <v>497</v>
      </c>
      <c r="AE119" s="101"/>
    </row>
    <row r="120" spans="1:31">
      <c r="A120" s="26">
        <v>136</v>
      </c>
      <c r="B120" s="231">
        <v>45849</v>
      </c>
      <c r="C120" s="28">
        <v>90</v>
      </c>
      <c r="D120" s="286"/>
      <c r="E120" s="27"/>
      <c r="F120" s="28" t="s">
        <v>470</v>
      </c>
      <c r="G120" s="188" t="s">
        <v>436</v>
      </c>
      <c r="H120" s="30">
        <v>90</v>
      </c>
      <c r="I120" s="188" t="s">
        <v>436</v>
      </c>
      <c r="J120" s="91" t="s">
        <v>436</v>
      </c>
      <c r="K120" s="188" t="s">
        <v>436</v>
      </c>
      <c r="L120" s="91" t="s">
        <v>436</v>
      </c>
      <c r="M120" s="30">
        <v>89</v>
      </c>
      <c r="N120" s="75">
        <v>1</v>
      </c>
      <c r="Z120" s="82" t="str">
        <f>IF(SUM(M120,N120)=C120,"DONE"," ")</f>
        <v>DONE</v>
      </c>
      <c r="AA120" s="102">
        <v>45852</v>
      </c>
      <c r="AB120" s="102">
        <v>45880</v>
      </c>
      <c r="AC120" t="s">
        <v>498</v>
      </c>
      <c r="AE120" s="101"/>
    </row>
    <row r="121" spans="1:31">
      <c r="A121" s="26">
        <v>137</v>
      </c>
      <c r="B121" s="231">
        <v>45850</v>
      </c>
      <c r="C121" s="28">
        <v>90</v>
      </c>
      <c r="D121" s="286"/>
      <c r="E121" s="27"/>
      <c r="F121" s="28" t="s">
        <v>472</v>
      </c>
      <c r="G121" s="188" t="s">
        <v>436</v>
      </c>
      <c r="H121" s="30">
        <v>90</v>
      </c>
      <c r="I121" s="188" t="s">
        <v>436</v>
      </c>
      <c r="J121" s="91" t="s">
        <v>436</v>
      </c>
      <c r="K121" s="188" t="s">
        <v>436</v>
      </c>
      <c r="L121" s="91" t="s">
        <v>436</v>
      </c>
      <c r="M121" s="30">
        <v>87</v>
      </c>
      <c r="N121" s="75">
        <v>3</v>
      </c>
      <c r="Z121" s="82" t="str">
        <f>IF(SUM(M121,N121)=C121,"DONE"," ")</f>
        <v>DONE</v>
      </c>
      <c r="AA121" s="102">
        <v>45852</v>
      </c>
      <c r="AB121" s="102">
        <v>45926</v>
      </c>
      <c r="AC121" t="s">
        <v>499</v>
      </c>
      <c r="AE121" s="101"/>
    </row>
    <row r="122" spans="1:31">
      <c r="A122" s="26">
        <v>138</v>
      </c>
      <c r="B122" s="232">
        <v>45851</v>
      </c>
      <c r="C122" s="28">
        <v>90</v>
      </c>
      <c r="D122" s="286"/>
      <c r="E122" s="27"/>
      <c r="F122" s="28" t="s">
        <v>472</v>
      </c>
      <c r="G122" s="188" t="s">
        <v>436</v>
      </c>
      <c r="H122" s="30">
        <v>90</v>
      </c>
      <c r="I122" s="188" t="s">
        <v>436</v>
      </c>
      <c r="J122" s="91" t="s">
        <v>436</v>
      </c>
      <c r="K122" s="188" t="s">
        <v>436</v>
      </c>
      <c r="L122" s="91" t="s">
        <v>436</v>
      </c>
      <c r="M122" s="30">
        <v>86</v>
      </c>
      <c r="N122" s="75">
        <v>4</v>
      </c>
      <c r="Z122" s="82" t="str">
        <f>IF(SUM(M122,N122)=C122,"DONE"," ")</f>
        <v>DONE</v>
      </c>
      <c r="AA122" s="195">
        <v>45853</v>
      </c>
      <c r="AB122" s="108">
        <v>46050</v>
      </c>
      <c r="AC122" t="s">
        <v>500</v>
      </c>
      <c r="AE122" s="101"/>
    </row>
    <row r="123" spans="1:31">
      <c r="A123" s="26">
        <v>139</v>
      </c>
      <c r="B123" s="231">
        <v>45852</v>
      </c>
      <c r="C123" s="28">
        <v>90</v>
      </c>
      <c r="D123" s="286"/>
      <c r="E123" s="27"/>
      <c r="F123" s="28" t="s">
        <v>473</v>
      </c>
      <c r="G123" s="188" t="s">
        <v>436</v>
      </c>
      <c r="H123" s="30">
        <v>90</v>
      </c>
      <c r="I123" s="188" t="s">
        <v>436</v>
      </c>
      <c r="J123" s="91" t="s">
        <v>436</v>
      </c>
      <c r="K123" s="188" t="s">
        <v>436</v>
      </c>
      <c r="L123" s="91" t="s">
        <v>436</v>
      </c>
      <c r="M123" s="30">
        <v>90</v>
      </c>
      <c r="N123" s="75" t="str">
        <f>IF(M123=C123,"-","")</f>
        <v>-</v>
      </c>
      <c r="Z123" s="82" t="str">
        <f>IF(SUM(M123,N123)=C123,"DONE"," ")</f>
        <v>DONE</v>
      </c>
      <c r="AA123" s="102">
        <v>45854</v>
      </c>
      <c r="AB123" s="104"/>
      <c r="AC123" t="s">
        <v>501</v>
      </c>
      <c r="AE123" s="101"/>
    </row>
    <row r="124" spans="1:31">
      <c r="A124" s="26">
        <v>140</v>
      </c>
      <c r="B124" s="231">
        <v>45852</v>
      </c>
      <c r="C124" s="28">
        <v>90</v>
      </c>
      <c r="D124" s="286"/>
      <c r="E124" s="27"/>
      <c r="F124" s="28" t="s">
        <v>472</v>
      </c>
      <c r="G124" s="188" t="s">
        <v>436</v>
      </c>
      <c r="H124" s="30">
        <v>90</v>
      </c>
      <c r="I124" s="188" t="s">
        <v>436</v>
      </c>
      <c r="J124" s="91" t="s">
        <v>436</v>
      </c>
      <c r="K124" s="188" t="s">
        <v>436</v>
      </c>
      <c r="L124" s="91" t="s">
        <v>436</v>
      </c>
      <c r="M124" s="30">
        <v>89</v>
      </c>
      <c r="N124" s="75">
        <v>1</v>
      </c>
      <c r="Z124" s="82" t="str">
        <f>IF(SUM(M124,N124)=C124,"DONE"," ")</f>
        <v>DONE</v>
      </c>
      <c r="AA124" s="102">
        <v>45854</v>
      </c>
      <c r="AB124" s="102">
        <v>45926</v>
      </c>
      <c r="AC124" t="s">
        <v>502</v>
      </c>
      <c r="AE124" s="101"/>
    </row>
    <row r="125" spans="1:31">
      <c r="A125" s="26">
        <v>141</v>
      </c>
      <c r="B125" s="231">
        <v>45852</v>
      </c>
      <c r="C125" s="28">
        <v>90</v>
      </c>
      <c r="D125" s="286"/>
      <c r="E125" s="27"/>
      <c r="F125" s="28" t="s">
        <v>491</v>
      </c>
      <c r="G125" s="188" t="s">
        <v>436</v>
      </c>
      <c r="H125" s="30">
        <v>90</v>
      </c>
      <c r="I125" s="188" t="s">
        <v>436</v>
      </c>
      <c r="J125" s="91" t="s">
        <v>436</v>
      </c>
      <c r="K125" s="188" t="s">
        <v>436</v>
      </c>
      <c r="L125" s="91" t="s">
        <v>436</v>
      </c>
      <c r="M125" s="30">
        <v>90</v>
      </c>
      <c r="N125" s="75" t="str">
        <f>IF(M125=C125,"-","")</f>
        <v>-</v>
      </c>
      <c r="Z125" s="82" t="str">
        <f>IF(SUM(M125,N125)=C125,"DONE"," ")</f>
        <v>DONE</v>
      </c>
      <c r="AA125" s="102">
        <v>45853</v>
      </c>
      <c r="AB125" s="104"/>
      <c r="AC125" t="s">
        <v>503</v>
      </c>
      <c r="AE125" s="101"/>
    </row>
    <row r="126" spans="1:31">
      <c r="A126" s="26">
        <v>142</v>
      </c>
      <c r="B126" s="232">
        <v>45853</v>
      </c>
      <c r="C126" s="28">
        <v>90</v>
      </c>
      <c r="D126" s="286"/>
      <c r="E126" s="27"/>
      <c r="F126" s="28" t="s">
        <v>472</v>
      </c>
      <c r="G126" s="188" t="s">
        <v>436</v>
      </c>
      <c r="H126" s="30">
        <v>90</v>
      </c>
      <c r="I126" s="188" t="s">
        <v>436</v>
      </c>
      <c r="J126" s="91" t="s">
        <v>436</v>
      </c>
      <c r="K126" s="188" t="s">
        <v>436</v>
      </c>
      <c r="L126" s="91" t="s">
        <v>436</v>
      </c>
      <c r="M126" s="30">
        <v>87</v>
      </c>
      <c r="N126" s="75" t="str">
        <f>IF(M126=C126,"-","")</f>
        <v/>
      </c>
      <c r="Z126" s="82" t="str">
        <f>IF(SUM(M126,N126)=C126,"DONE"," ")</f>
        <v xml:space="preserve"> </v>
      </c>
      <c r="AA126" s="195">
        <v>45854</v>
      </c>
      <c r="AB126" s="105"/>
      <c r="AC126" t="s">
        <v>504</v>
      </c>
      <c r="AE126" s="101"/>
    </row>
    <row r="127" spans="1:31">
      <c r="A127" s="26">
        <v>143</v>
      </c>
      <c r="B127" s="232">
        <v>45854</v>
      </c>
      <c r="C127" s="28">
        <v>90</v>
      </c>
      <c r="D127" s="286"/>
      <c r="E127" s="27"/>
      <c r="F127" s="28" t="s">
        <v>470</v>
      </c>
      <c r="G127" s="188" t="s">
        <v>436</v>
      </c>
      <c r="H127" s="30">
        <v>90</v>
      </c>
      <c r="I127" s="188" t="s">
        <v>436</v>
      </c>
      <c r="J127" s="91" t="s">
        <v>436</v>
      </c>
      <c r="K127" s="188" t="s">
        <v>436</v>
      </c>
      <c r="L127" s="91" t="s">
        <v>436</v>
      </c>
      <c r="M127" s="30">
        <v>88</v>
      </c>
      <c r="N127" s="75" t="str">
        <f>IF(M127=C127,"-","")</f>
        <v/>
      </c>
      <c r="Z127" s="82" t="str">
        <f>IF(SUM(M127,N127)=C127,"DONE"," ")</f>
        <v xml:space="preserve"> </v>
      </c>
      <c r="AA127" s="195">
        <v>45855</v>
      </c>
      <c r="AB127" s="105"/>
      <c r="AC127" t="s">
        <v>505</v>
      </c>
      <c r="AE127" s="101"/>
    </row>
    <row r="128" spans="1:31">
      <c r="A128" s="26">
        <v>144</v>
      </c>
      <c r="B128" s="231">
        <v>45854</v>
      </c>
      <c r="C128" s="28">
        <v>90</v>
      </c>
      <c r="D128" s="286"/>
      <c r="E128" s="27"/>
      <c r="F128" s="28" t="s">
        <v>473</v>
      </c>
      <c r="G128" s="188" t="s">
        <v>436</v>
      </c>
      <c r="H128" s="30">
        <v>90</v>
      </c>
      <c r="I128" s="188" t="s">
        <v>436</v>
      </c>
      <c r="J128" s="91" t="s">
        <v>436</v>
      </c>
      <c r="K128" s="188" t="s">
        <v>436</v>
      </c>
      <c r="L128" s="91" t="s">
        <v>436</v>
      </c>
      <c r="M128" s="30">
        <v>86</v>
      </c>
      <c r="N128" s="75">
        <v>4</v>
      </c>
      <c r="Z128" s="82" t="str">
        <f>IF(SUM(M128,N128)=C128,"DONE"," ")</f>
        <v>DONE</v>
      </c>
      <c r="AA128" s="102">
        <v>45856</v>
      </c>
      <c r="AB128" s="102">
        <v>45926</v>
      </c>
      <c r="AC128" t="s">
        <v>506</v>
      </c>
      <c r="AE128" s="101"/>
    </row>
    <row r="129" spans="1:31">
      <c r="A129" s="26">
        <v>145</v>
      </c>
      <c r="B129" s="231">
        <v>45855</v>
      </c>
      <c r="C129" s="28">
        <v>90</v>
      </c>
      <c r="D129" s="286"/>
      <c r="E129" s="27"/>
      <c r="F129" s="28" t="s">
        <v>470</v>
      </c>
      <c r="G129" s="188" t="s">
        <v>436</v>
      </c>
      <c r="H129" s="30">
        <v>90</v>
      </c>
      <c r="I129" s="188" t="s">
        <v>436</v>
      </c>
      <c r="J129" s="91" t="s">
        <v>436</v>
      </c>
      <c r="K129" s="188" t="s">
        <v>436</v>
      </c>
      <c r="L129" s="91" t="s">
        <v>436</v>
      </c>
      <c r="M129" s="30">
        <v>89</v>
      </c>
      <c r="N129" s="75">
        <v>1</v>
      </c>
      <c r="Z129" s="82" t="str">
        <f>IF(SUM(M129,N129)=C129,"DONE"," ")</f>
        <v>DONE</v>
      </c>
      <c r="AA129" s="102">
        <v>45856</v>
      </c>
      <c r="AB129" s="102">
        <v>45880</v>
      </c>
      <c r="AC129" t="s">
        <v>507</v>
      </c>
      <c r="AE129" s="101"/>
    </row>
    <row r="130" spans="1:31">
      <c r="A130" s="26">
        <v>146</v>
      </c>
      <c r="B130" s="231">
        <v>45855</v>
      </c>
      <c r="C130" s="28">
        <v>90</v>
      </c>
      <c r="D130" s="286"/>
      <c r="E130" s="27"/>
      <c r="F130" s="28" t="s">
        <v>494</v>
      </c>
      <c r="G130" s="188" t="s">
        <v>436</v>
      </c>
      <c r="H130" s="30">
        <v>90</v>
      </c>
      <c r="I130" s="188" t="s">
        <v>436</v>
      </c>
      <c r="J130" s="91" t="s">
        <v>436</v>
      </c>
      <c r="K130" s="188" t="s">
        <v>436</v>
      </c>
      <c r="L130" s="91" t="s">
        <v>436</v>
      </c>
      <c r="M130" s="30">
        <v>87</v>
      </c>
      <c r="N130" s="75">
        <v>3</v>
      </c>
      <c r="Z130" s="82" t="str">
        <f>IF(SUM(M130,N130)=C130,"DONE"," ")</f>
        <v>DONE</v>
      </c>
      <c r="AA130" s="102">
        <v>45855</v>
      </c>
      <c r="AB130" s="102">
        <v>45880</v>
      </c>
      <c r="AC130" t="s">
        <v>508</v>
      </c>
      <c r="AE130" s="101"/>
    </row>
    <row r="131" spans="1:31">
      <c r="A131" s="26">
        <v>147</v>
      </c>
      <c r="B131" s="232">
        <v>45856</v>
      </c>
      <c r="C131" s="28">
        <v>90</v>
      </c>
      <c r="D131" s="286"/>
      <c r="E131" s="27"/>
      <c r="F131" s="28" t="s">
        <v>470</v>
      </c>
      <c r="G131" s="188" t="s">
        <v>436</v>
      </c>
      <c r="H131" s="30">
        <v>90</v>
      </c>
      <c r="I131" s="188" t="s">
        <v>436</v>
      </c>
      <c r="J131" s="91" t="s">
        <v>436</v>
      </c>
      <c r="K131" s="188" t="s">
        <v>436</v>
      </c>
      <c r="L131" s="91" t="s">
        <v>436</v>
      </c>
      <c r="M131" s="30">
        <v>86</v>
      </c>
      <c r="N131" s="75">
        <v>2</v>
      </c>
      <c r="Z131" s="82" t="str">
        <f>IF(SUM(M131,N131)=C131,"DONE"," ")</f>
        <v xml:space="preserve"> </v>
      </c>
      <c r="AA131" s="195">
        <v>45859</v>
      </c>
      <c r="AB131" s="195">
        <v>45880</v>
      </c>
      <c r="AC131" t="s">
        <v>509</v>
      </c>
      <c r="AE131" s="101"/>
    </row>
    <row r="132" spans="1:31">
      <c r="A132" s="26">
        <v>163</v>
      </c>
      <c r="B132" s="232">
        <v>45856</v>
      </c>
      <c r="C132" s="28">
        <v>90</v>
      </c>
      <c r="D132" s="286"/>
      <c r="E132" s="27"/>
      <c r="F132" s="28" t="s">
        <v>494</v>
      </c>
      <c r="G132" s="188" t="s">
        <v>436</v>
      </c>
      <c r="H132" s="30">
        <v>90</v>
      </c>
      <c r="I132" s="188" t="s">
        <v>436</v>
      </c>
      <c r="J132" s="91" t="s">
        <v>436</v>
      </c>
      <c r="K132" s="188" t="s">
        <v>436</v>
      </c>
      <c r="L132" s="91" t="s">
        <v>436</v>
      </c>
      <c r="M132" s="30">
        <v>87</v>
      </c>
      <c r="N132" s="75" t="str">
        <f>IF(M132=C132,"-","")</f>
        <v/>
      </c>
      <c r="Z132" s="82" t="str">
        <f>IF(SUM(M132,N132)=C132,"DONE"," ")</f>
        <v xml:space="preserve"> </v>
      </c>
      <c r="AA132" s="195">
        <v>45856</v>
      </c>
      <c r="AB132" s="105"/>
      <c r="AC132" t="s">
        <v>510</v>
      </c>
      <c r="AE132" s="101"/>
    </row>
    <row r="133" spans="1:31">
      <c r="A133" s="26" t="s">
        <v>511</v>
      </c>
      <c r="B133" s="231">
        <v>45856</v>
      </c>
      <c r="C133" s="28">
        <v>5</v>
      </c>
      <c r="D133" s="286"/>
      <c r="E133" s="27"/>
      <c r="F133" s="28" t="s">
        <v>472</v>
      </c>
      <c r="G133" s="188" t="s">
        <v>436</v>
      </c>
      <c r="H133" s="30">
        <v>5</v>
      </c>
      <c r="I133" s="188" t="s">
        <v>436</v>
      </c>
      <c r="J133" s="91" t="s">
        <v>436</v>
      </c>
      <c r="K133" s="188" t="s">
        <v>436</v>
      </c>
      <c r="L133" s="91" t="s">
        <v>436</v>
      </c>
      <c r="M133" s="30">
        <v>5</v>
      </c>
      <c r="N133" s="75" t="str">
        <f>IF(M133=C133,"-","")</f>
        <v>-</v>
      </c>
      <c r="Z133" s="82" t="str">
        <f>IF(SUM(M133,N133)=C133,"DONE"," ")</f>
        <v>DONE</v>
      </c>
      <c r="AA133" s="102">
        <v>45856</v>
      </c>
      <c r="AB133" s="104"/>
      <c r="AC133" t="s">
        <v>512</v>
      </c>
      <c r="AE133" s="101"/>
    </row>
    <row r="134" spans="1:31">
      <c r="A134" s="26">
        <v>148</v>
      </c>
      <c r="B134" s="231">
        <v>45857</v>
      </c>
      <c r="C134" s="28">
        <v>90</v>
      </c>
      <c r="D134" s="286"/>
      <c r="E134" s="27"/>
      <c r="F134" s="28" t="s">
        <v>472</v>
      </c>
      <c r="G134" s="188" t="s">
        <v>436</v>
      </c>
      <c r="H134" s="30">
        <v>90</v>
      </c>
      <c r="I134" s="188" t="s">
        <v>436</v>
      </c>
      <c r="J134" s="91" t="s">
        <v>436</v>
      </c>
      <c r="K134" s="188" t="s">
        <v>436</v>
      </c>
      <c r="L134" s="91" t="s">
        <v>436</v>
      </c>
      <c r="M134" s="30">
        <v>88</v>
      </c>
      <c r="N134" s="75">
        <v>2</v>
      </c>
      <c r="Z134" s="82" t="str">
        <f>IF(SUM(M134,N134)=C134,"DONE"," ")</f>
        <v>DONE</v>
      </c>
      <c r="AA134" s="102">
        <v>45859</v>
      </c>
      <c r="AB134" s="102">
        <v>45926</v>
      </c>
      <c r="AC134" t="s">
        <v>513</v>
      </c>
      <c r="AE134" s="101"/>
    </row>
    <row r="135" spans="1:31">
      <c r="A135" s="26">
        <v>149</v>
      </c>
      <c r="B135" s="232">
        <v>45857</v>
      </c>
      <c r="C135" s="28">
        <v>90</v>
      </c>
      <c r="D135" s="286"/>
      <c r="E135" s="27"/>
      <c r="F135" s="28" t="s">
        <v>470</v>
      </c>
      <c r="G135" s="188" t="s">
        <v>436</v>
      </c>
      <c r="H135" s="30">
        <v>90</v>
      </c>
      <c r="I135" s="188" t="s">
        <v>436</v>
      </c>
      <c r="J135" s="91" t="s">
        <v>436</v>
      </c>
      <c r="K135" s="188" t="s">
        <v>436</v>
      </c>
      <c r="L135" s="91" t="s">
        <v>436</v>
      </c>
      <c r="M135" s="30">
        <v>87</v>
      </c>
      <c r="N135" s="75">
        <v>3</v>
      </c>
      <c r="Z135" s="82" t="str">
        <f>IF(SUM(M135,N135)=C135,"DONE"," ")</f>
        <v>DONE</v>
      </c>
      <c r="AA135" s="195">
        <v>45859</v>
      </c>
      <c r="AB135" s="108">
        <v>46050</v>
      </c>
      <c r="AC135" t="s">
        <v>514</v>
      </c>
      <c r="AE135" s="101"/>
    </row>
    <row r="136" spans="1:31">
      <c r="A136" s="26">
        <v>150</v>
      </c>
      <c r="B136" s="231">
        <v>45857</v>
      </c>
      <c r="C136" s="28">
        <v>90</v>
      </c>
      <c r="D136" s="286"/>
      <c r="E136" s="27"/>
      <c r="F136" s="28" t="s">
        <v>478</v>
      </c>
      <c r="G136" s="188" t="s">
        <v>436</v>
      </c>
      <c r="H136" s="30">
        <v>90</v>
      </c>
      <c r="I136" s="188" t="s">
        <v>436</v>
      </c>
      <c r="J136" s="91" t="s">
        <v>436</v>
      </c>
      <c r="K136" s="188" t="s">
        <v>436</v>
      </c>
      <c r="L136" s="91" t="s">
        <v>436</v>
      </c>
      <c r="M136" s="30">
        <v>88</v>
      </c>
      <c r="N136" s="75">
        <v>2</v>
      </c>
      <c r="Z136" s="82" t="str">
        <f>IF(SUM(M136,N136)=C136,"DONE"," ")</f>
        <v>DONE</v>
      </c>
      <c r="AA136" s="102">
        <v>45859</v>
      </c>
      <c r="AB136" s="102">
        <v>45880</v>
      </c>
      <c r="AC136" t="s">
        <v>515</v>
      </c>
      <c r="AE136" s="101"/>
    </row>
    <row r="137" spans="1:31">
      <c r="A137" s="26">
        <v>151</v>
      </c>
      <c r="B137" s="231">
        <v>45859</v>
      </c>
      <c r="C137" s="28">
        <v>90</v>
      </c>
      <c r="D137" s="286"/>
      <c r="E137" s="27"/>
      <c r="F137" s="28" t="s">
        <v>472</v>
      </c>
      <c r="G137" s="188" t="s">
        <v>436</v>
      </c>
      <c r="H137" s="30">
        <v>90</v>
      </c>
      <c r="I137" s="188" t="s">
        <v>436</v>
      </c>
      <c r="J137" s="91" t="s">
        <v>436</v>
      </c>
      <c r="K137" s="188" t="s">
        <v>436</v>
      </c>
      <c r="L137" s="91" t="s">
        <v>436</v>
      </c>
      <c r="M137" s="30">
        <v>86</v>
      </c>
      <c r="N137" s="75">
        <v>4</v>
      </c>
      <c r="Z137" s="82" t="str">
        <f>IF(SUM(M137,N137)=C137,"DONE"," ")</f>
        <v>DONE</v>
      </c>
      <c r="AA137" s="102">
        <v>45860</v>
      </c>
      <c r="AB137" s="102">
        <v>45926</v>
      </c>
      <c r="AC137" t="s">
        <v>516</v>
      </c>
      <c r="AE137" s="101"/>
    </row>
    <row r="138" spans="1:31">
      <c r="A138" s="26">
        <v>164</v>
      </c>
      <c r="B138" s="231">
        <v>45859</v>
      </c>
      <c r="C138" s="28">
        <v>90</v>
      </c>
      <c r="D138" s="286"/>
      <c r="E138" s="27"/>
      <c r="F138" s="28" t="s">
        <v>478</v>
      </c>
      <c r="G138" s="188" t="s">
        <v>436</v>
      </c>
      <c r="H138" s="30">
        <v>90</v>
      </c>
      <c r="I138" s="188" t="s">
        <v>436</v>
      </c>
      <c r="J138" s="91" t="s">
        <v>436</v>
      </c>
      <c r="K138" s="188" t="s">
        <v>436</v>
      </c>
      <c r="L138" s="91" t="s">
        <v>436</v>
      </c>
      <c r="M138" s="30">
        <v>87</v>
      </c>
      <c r="N138" s="75">
        <v>3</v>
      </c>
      <c r="Z138" s="82" t="str">
        <f>IF(SUM(M138,N138)=C138,"DONE"," ")</f>
        <v>DONE</v>
      </c>
      <c r="AA138" s="102">
        <v>45859</v>
      </c>
      <c r="AB138" s="102">
        <v>45880</v>
      </c>
      <c r="AC138" t="s">
        <v>517</v>
      </c>
      <c r="AE138" s="101"/>
    </row>
    <row r="139" spans="1:31">
      <c r="A139" s="26">
        <v>165</v>
      </c>
      <c r="B139" s="231">
        <v>45859</v>
      </c>
      <c r="C139" s="28">
        <v>90</v>
      </c>
      <c r="D139" s="286"/>
      <c r="E139" s="27"/>
      <c r="F139" s="28" t="s">
        <v>491</v>
      </c>
      <c r="G139" s="188" t="s">
        <v>436</v>
      </c>
      <c r="H139" s="30">
        <v>90</v>
      </c>
      <c r="I139" s="188" t="s">
        <v>436</v>
      </c>
      <c r="J139" s="91" t="s">
        <v>436</v>
      </c>
      <c r="K139" s="188" t="s">
        <v>436</v>
      </c>
      <c r="L139" s="91" t="s">
        <v>436</v>
      </c>
      <c r="M139" s="30">
        <v>86</v>
      </c>
      <c r="N139" s="75">
        <v>4</v>
      </c>
      <c r="Z139" s="82" t="str">
        <f>IF(SUM(M139,N139)=C139,"DONE"," ")</f>
        <v>DONE</v>
      </c>
      <c r="AA139" s="102">
        <v>45860</v>
      </c>
      <c r="AB139" s="102">
        <v>45926</v>
      </c>
      <c r="AC139" t="s">
        <v>518</v>
      </c>
      <c r="AE139" s="101"/>
    </row>
    <row r="140" spans="1:31">
      <c r="A140" s="26">
        <v>172</v>
      </c>
      <c r="B140" s="231">
        <v>45860</v>
      </c>
      <c r="C140" s="28">
        <v>89</v>
      </c>
      <c r="D140" s="286"/>
      <c r="E140" s="27"/>
      <c r="F140" s="28" t="s">
        <v>519</v>
      </c>
      <c r="G140" s="188" t="s">
        <v>436</v>
      </c>
      <c r="H140" s="30">
        <v>89</v>
      </c>
      <c r="I140" s="188" t="s">
        <v>436</v>
      </c>
      <c r="J140" s="91" t="s">
        <v>436</v>
      </c>
      <c r="K140" s="188" t="s">
        <v>436</v>
      </c>
      <c r="L140" s="91" t="s">
        <v>436</v>
      </c>
      <c r="M140" s="30">
        <v>85</v>
      </c>
      <c r="N140" s="75">
        <v>4</v>
      </c>
      <c r="Z140" s="82" t="str">
        <f>IF(SUM(M140,N140)=C140,"DONE"," ")</f>
        <v>DONE</v>
      </c>
      <c r="AA140" s="102">
        <v>45860</v>
      </c>
      <c r="AB140" s="102">
        <v>45880</v>
      </c>
      <c r="AC140" t="s">
        <v>520</v>
      </c>
      <c r="AE140" s="101"/>
    </row>
    <row r="141" spans="1:31">
      <c r="A141" s="26">
        <v>152</v>
      </c>
      <c r="B141" s="231">
        <v>45860</v>
      </c>
      <c r="C141" s="28">
        <v>90</v>
      </c>
      <c r="D141" s="286"/>
      <c r="E141" s="27"/>
      <c r="F141" s="28" t="s">
        <v>467</v>
      </c>
      <c r="G141" s="188" t="s">
        <v>436</v>
      </c>
      <c r="H141" s="30">
        <v>90</v>
      </c>
      <c r="I141" s="188" t="s">
        <v>436</v>
      </c>
      <c r="J141" s="91" t="s">
        <v>436</v>
      </c>
      <c r="K141" s="188" t="s">
        <v>436</v>
      </c>
      <c r="L141" s="91" t="s">
        <v>436</v>
      </c>
      <c r="M141" s="30">
        <v>88</v>
      </c>
      <c r="N141" s="75">
        <v>2</v>
      </c>
      <c r="Z141" s="82" t="str">
        <f>IF(SUM(M141,N141)=C141,"DONE"," ")</f>
        <v>DONE</v>
      </c>
      <c r="AA141" s="102">
        <v>45861</v>
      </c>
      <c r="AB141" s="102">
        <v>45889</v>
      </c>
      <c r="AC141" t="s">
        <v>521</v>
      </c>
      <c r="AE141" s="101"/>
    </row>
    <row r="142" spans="1:31" ht="15.75">
      <c r="A142" s="26">
        <v>153</v>
      </c>
      <c r="B142" s="231">
        <v>45861</v>
      </c>
      <c r="C142" s="28">
        <v>90</v>
      </c>
      <c r="D142" s="286"/>
      <c r="E142" s="27"/>
      <c r="F142" s="28" t="s">
        <v>496</v>
      </c>
      <c r="G142" s="188" t="s">
        <v>436</v>
      </c>
      <c r="H142" s="30">
        <v>90</v>
      </c>
      <c r="I142" s="188" t="s">
        <v>436</v>
      </c>
      <c r="J142" s="91" t="s">
        <v>436</v>
      </c>
      <c r="K142" s="188" t="s">
        <v>436</v>
      </c>
      <c r="L142" s="91" t="s">
        <v>436</v>
      </c>
      <c r="M142" s="30">
        <v>87</v>
      </c>
      <c r="N142" s="75">
        <v>3</v>
      </c>
      <c r="Z142" s="82" t="str">
        <f>IF(SUM(M142,N142)=C142,"DONE"," ")</f>
        <v>DONE</v>
      </c>
      <c r="AA142" s="102">
        <v>45862</v>
      </c>
      <c r="AB142" s="102">
        <v>45889</v>
      </c>
      <c r="AC142" s="90" t="s">
        <v>522</v>
      </c>
      <c r="AD142" s="141"/>
      <c r="AE142" s="129"/>
    </row>
    <row r="143" spans="1:31">
      <c r="A143" s="26">
        <v>154</v>
      </c>
      <c r="B143" s="231">
        <v>45861</v>
      </c>
      <c r="C143" s="28">
        <v>90</v>
      </c>
      <c r="D143" s="286"/>
      <c r="E143" s="27"/>
      <c r="F143" s="28" t="s">
        <v>491</v>
      </c>
      <c r="G143" s="188" t="s">
        <v>436</v>
      </c>
      <c r="H143" s="30">
        <v>90</v>
      </c>
      <c r="I143" s="188" t="s">
        <v>436</v>
      </c>
      <c r="J143" s="91" t="s">
        <v>436</v>
      </c>
      <c r="K143" s="188" t="s">
        <v>436</v>
      </c>
      <c r="L143" s="91" t="s">
        <v>436</v>
      </c>
      <c r="M143" s="30">
        <v>89</v>
      </c>
      <c r="N143" s="30">
        <v>1</v>
      </c>
      <c r="Z143" s="82" t="str">
        <f>IF(SUM(M143,N143)=C143,"DONE"," ")</f>
        <v>DONE</v>
      </c>
      <c r="AA143" s="102">
        <v>45862</v>
      </c>
      <c r="AB143" s="102">
        <v>45889</v>
      </c>
      <c r="AC143" s="89" t="s">
        <v>523</v>
      </c>
      <c r="AD143" s="142"/>
      <c r="AE143" s="130"/>
    </row>
    <row r="144" spans="1:31">
      <c r="A144" s="26">
        <v>155</v>
      </c>
      <c r="B144" s="232">
        <v>45862</v>
      </c>
      <c r="C144" s="28">
        <v>90</v>
      </c>
      <c r="D144" s="286"/>
      <c r="E144" s="27"/>
      <c r="F144" s="28" t="s">
        <v>524</v>
      </c>
      <c r="G144" s="188" t="s">
        <v>436</v>
      </c>
      <c r="H144" s="30">
        <v>90</v>
      </c>
      <c r="I144" s="188" t="s">
        <v>436</v>
      </c>
      <c r="J144" s="91" t="s">
        <v>436</v>
      </c>
      <c r="K144" s="188" t="s">
        <v>436</v>
      </c>
      <c r="L144" s="91" t="s">
        <v>436</v>
      </c>
      <c r="M144" s="30">
        <v>88</v>
      </c>
      <c r="N144" s="75" t="str">
        <f>IF(M144=C144,"-","")</f>
        <v/>
      </c>
      <c r="Z144" s="82" t="str">
        <f>IF(SUM(M144,N144)=C144,"DONE"," ")</f>
        <v xml:space="preserve"> </v>
      </c>
      <c r="AA144" s="195">
        <v>45863</v>
      </c>
      <c r="AB144" s="105"/>
      <c r="AC144" s="89" t="s">
        <v>523</v>
      </c>
      <c r="AD144" s="142"/>
      <c r="AE144" s="130"/>
    </row>
    <row r="145" spans="1:31">
      <c r="A145" s="26">
        <v>156</v>
      </c>
      <c r="B145" s="232">
        <v>45863</v>
      </c>
      <c r="C145" s="28">
        <v>90</v>
      </c>
      <c r="D145" s="286"/>
      <c r="E145" s="27"/>
      <c r="F145" s="28" t="s">
        <v>494</v>
      </c>
      <c r="G145" s="188" t="s">
        <v>436</v>
      </c>
      <c r="H145" s="30">
        <v>90</v>
      </c>
      <c r="I145" s="188" t="s">
        <v>436</v>
      </c>
      <c r="J145" s="91" t="s">
        <v>436</v>
      </c>
      <c r="K145" s="188" t="s">
        <v>436</v>
      </c>
      <c r="L145" s="91" t="s">
        <v>436</v>
      </c>
      <c r="M145" s="30">
        <v>85</v>
      </c>
      <c r="N145" s="75" t="str">
        <f>IF(M145=C145,"-","")</f>
        <v/>
      </c>
      <c r="Z145" s="82" t="str">
        <f>IF(SUM(M145,N145)=C145,"DONE"," ")</f>
        <v xml:space="preserve"> </v>
      </c>
      <c r="AA145" s="195">
        <v>45863</v>
      </c>
      <c r="AB145" s="105"/>
      <c r="AC145" s="89" t="s">
        <v>525</v>
      </c>
      <c r="AD145" s="142"/>
      <c r="AE145" s="130"/>
    </row>
    <row r="146" spans="1:31">
      <c r="A146" s="26">
        <v>157</v>
      </c>
      <c r="B146" s="232">
        <v>45863</v>
      </c>
      <c r="C146" s="28">
        <v>90</v>
      </c>
      <c r="D146" s="286"/>
      <c r="E146" s="27"/>
      <c r="F146" s="28" t="s">
        <v>494</v>
      </c>
      <c r="G146" s="188" t="s">
        <v>436</v>
      </c>
      <c r="H146" s="30">
        <v>90</v>
      </c>
      <c r="I146" s="188" t="s">
        <v>436</v>
      </c>
      <c r="J146" s="91" t="s">
        <v>436</v>
      </c>
      <c r="K146" s="188" t="s">
        <v>436</v>
      </c>
      <c r="L146" s="91" t="s">
        <v>436</v>
      </c>
      <c r="M146" s="30">
        <v>87</v>
      </c>
      <c r="N146" s="75">
        <v>3</v>
      </c>
      <c r="Z146" s="82" t="str">
        <f>IF(SUM(M146,N146)=C146,"DONE"," ")</f>
        <v>DONE</v>
      </c>
      <c r="AA146" s="195">
        <v>45865</v>
      </c>
      <c r="AB146" s="108">
        <v>46037</v>
      </c>
      <c r="AC146" t="s">
        <v>526</v>
      </c>
      <c r="AE146" s="101"/>
    </row>
    <row r="147" spans="1:31">
      <c r="A147" s="26">
        <v>158</v>
      </c>
      <c r="B147" s="231">
        <v>45864</v>
      </c>
      <c r="C147" s="28">
        <v>90</v>
      </c>
      <c r="D147" s="286"/>
      <c r="E147" s="27"/>
      <c r="F147" s="28" t="s">
        <v>494</v>
      </c>
      <c r="G147" s="188" t="s">
        <v>436</v>
      </c>
      <c r="H147" s="30">
        <v>90</v>
      </c>
      <c r="I147" s="188" t="s">
        <v>436</v>
      </c>
      <c r="J147" s="91" t="s">
        <v>436</v>
      </c>
      <c r="K147" s="188" t="s">
        <v>436</v>
      </c>
      <c r="L147" s="91" t="s">
        <v>436</v>
      </c>
      <c r="M147" s="30">
        <v>88</v>
      </c>
      <c r="N147" s="75">
        <v>2</v>
      </c>
      <c r="Z147" s="82" t="str">
        <f>IF(SUM(M147,N147)=C147,"DONE"," ")</f>
        <v>DONE</v>
      </c>
      <c r="AA147" s="102">
        <v>45865</v>
      </c>
      <c r="AB147" s="102">
        <v>45889</v>
      </c>
      <c r="AC147" t="s">
        <v>527</v>
      </c>
      <c r="AE147" s="101"/>
    </row>
    <row r="148" spans="1:31">
      <c r="A148" s="26">
        <v>159</v>
      </c>
      <c r="B148" s="231">
        <v>45864</v>
      </c>
      <c r="C148" s="28">
        <v>89</v>
      </c>
      <c r="D148" s="286"/>
      <c r="E148" s="27"/>
      <c r="F148" s="28" t="s">
        <v>494</v>
      </c>
      <c r="G148" s="188" t="s">
        <v>436</v>
      </c>
      <c r="H148" s="30">
        <v>89</v>
      </c>
      <c r="I148" s="188" t="s">
        <v>436</v>
      </c>
      <c r="J148" s="91" t="s">
        <v>436</v>
      </c>
      <c r="K148" s="188" t="s">
        <v>436</v>
      </c>
      <c r="L148" s="91" t="s">
        <v>436</v>
      </c>
      <c r="M148" s="30">
        <v>88</v>
      </c>
      <c r="N148" s="30">
        <v>1</v>
      </c>
      <c r="Z148" s="82" t="str">
        <f>IF(SUM(M148,N148)=C148,"DONE"," ")</f>
        <v>DONE</v>
      </c>
      <c r="AA148" s="102">
        <v>45865</v>
      </c>
      <c r="AB148" s="102">
        <v>45889</v>
      </c>
      <c r="AC148" t="s">
        <v>528</v>
      </c>
      <c r="AE148" s="101"/>
    </row>
    <row r="149" spans="1:31">
      <c r="A149" s="26">
        <v>174</v>
      </c>
      <c r="B149" s="231">
        <v>45865</v>
      </c>
      <c r="C149" s="28">
        <v>91</v>
      </c>
      <c r="D149" s="286"/>
      <c r="E149" s="27"/>
      <c r="F149" s="28" t="s">
        <v>519</v>
      </c>
      <c r="G149" s="188" t="s">
        <v>436</v>
      </c>
      <c r="H149" s="30">
        <v>91</v>
      </c>
      <c r="I149" s="188" t="s">
        <v>436</v>
      </c>
      <c r="J149" s="91" t="s">
        <v>436</v>
      </c>
      <c r="K149" s="188" t="s">
        <v>436</v>
      </c>
      <c r="L149" s="91" t="s">
        <v>436</v>
      </c>
      <c r="M149" s="30">
        <v>86</v>
      </c>
      <c r="N149" s="30">
        <v>5</v>
      </c>
      <c r="Z149" s="82" t="str">
        <f>IF(SUM(M149,N149)=C149,"DONE"," ")</f>
        <v>DONE</v>
      </c>
      <c r="AA149" s="102">
        <v>45866</v>
      </c>
      <c r="AB149" s="102">
        <v>45926</v>
      </c>
      <c r="AC149" t="s">
        <v>529</v>
      </c>
      <c r="AE149" s="101"/>
    </row>
    <row r="150" spans="1:31">
      <c r="A150" s="26">
        <v>160</v>
      </c>
      <c r="B150" s="231">
        <v>45865</v>
      </c>
      <c r="C150" s="28">
        <v>90</v>
      </c>
      <c r="D150" s="286"/>
      <c r="E150" s="27"/>
      <c r="F150" s="28" t="s">
        <v>472</v>
      </c>
      <c r="G150" s="188" t="s">
        <v>436</v>
      </c>
      <c r="H150" s="30">
        <v>90</v>
      </c>
      <c r="I150" s="188" t="s">
        <v>436</v>
      </c>
      <c r="J150" s="91" t="s">
        <v>436</v>
      </c>
      <c r="K150" s="188" t="s">
        <v>436</v>
      </c>
      <c r="L150" s="91" t="s">
        <v>436</v>
      </c>
      <c r="M150" s="30">
        <v>86</v>
      </c>
      <c r="N150" s="30">
        <v>4</v>
      </c>
      <c r="Z150" s="82" t="str">
        <f>IF(SUM(M150,N150)=C150,"DONE"," ")</f>
        <v>DONE</v>
      </c>
      <c r="AA150" s="102">
        <v>45866</v>
      </c>
      <c r="AB150" s="102">
        <v>45889</v>
      </c>
      <c r="AC150" t="s">
        <v>528</v>
      </c>
      <c r="AE150" s="101"/>
    </row>
    <row r="151" spans="1:31">
      <c r="A151" s="26">
        <v>161</v>
      </c>
      <c r="B151" s="231">
        <v>45866</v>
      </c>
      <c r="C151" s="28">
        <v>90</v>
      </c>
      <c r="D151" s="286"/>
      <c r="E151" s="27"/>
      <c r="F151" s="28" t="s">
        <v>496</v>
      </c>
      <c r="G151" s="188" t="s">
        <v>436</v>
      </c>
      <c r="H151" s="30">
        <v>90</v>
      </c>
      <c r="I151" s="188" t="s">
        <v>436</v>
      </c>
      <c r="J151" s="91" t="s">
        <v>436</v>
      </c>
      <c r="K151" s="188" t="s">
        <v>436</v>
      </c>
      <c r="L151" s="91" t="s">
        <v>436</v>
      </c>
      <c r="M151" s="30">
        <v>88</v>
      </c>
      <c r="N151" s="30">
        <v>2</v>
      </c>
      <c r="Z151" s="82" t="str">
        <f>IF(SUM(M151,N151)=C151,"DONE"," ")</f>
        <v>DONE</v>
      </c>
      <c r="AA151" s="102">
        <v>45867</v>
      </c>
      <c r="AB151" s="102">
        <v>45926</v>
      </c>
      <c r="AC151" t="s">
        <v>528</v>
      </c>
      <c r="AE151" s="101"/>
    </row>
    <row r="152" spans="1:31">
      <c r="A152" s="26">
        <v>162</v>
      </c>
      <c r="B152" s="231">
        <v>45867</v>
      </c>
      <c r="C152" s="28">
        <v>90</v>
      </c>
      <c r="D152" s="286"/>
      <c r="E152" s="27"/>
      <c r="F152" s="28" t="s">
        <v>469</v>
      </c>
      <c r="G152" s="188" t="s">
        <v>436</v>
      </c>
      <c r="H152" s="30">
        <v>90</v>
      </c>
      <c r="I152" s="188" t="s">
        <v>436</v>
      </c>
      <c r="J152" s="91" t="s">
        <v>436</v>
      </c>
      <c r="K152" s="188" t="s">
        <v>436</v>
      </c>
      <c r="L152" s="91" t="s">
        <v>436</v>
      </c>
      <c r="M152" s="30">
        <v>89</v>
      </c>
      <c r="N152" s="30">
        <v>1</v>
      </c>
      <c r="Z152" s="82" t="str">
        <f>IF(SUM(M152,N152)=C152,"DONE"," ")</f>
        <v>DONE</v>
      </c>
      <c r="AA152" s="102">
        <v>45868</v>
      </c>
      <c r="AB152" s="102">
        <v>45926</v>
      </c>
      <c r="AC152" t="s">
        <v>528</v>
      </c>
      <c r="AE152" s="101"/>
    </row>
    <row r="153" spans="1:31">
      <c r="A153" s="26">
        <v>166</v>
      </c>
      <c r="B153" s="231">
        <v>45867</v>
      </c>
      <c r="C153" s="28">
        <v>90</v>
      </c>
      <c r="D153" s="286"/>
      <c r="E153" s="27"/>
      <c r="F153" s="28" t="s">
        <v>478</v>
      </c>
      <c r="G153" s="188" t="s">
        <v>436</v>
      </c>
      <c r="H153" s="30">
        <v>90</v>
      </c>
      <c r="I153" s="188" t="s">
        <v>436</v>
      </c>
      <c r="J153" s="91" t="s">
        <v>436</v>
      </c>
      <c r="K153" s="188" t="s">
        <v>436</v>
      </c>
      <c r="L153" s="91" t="s">
        <v>436</v>
      </c>
      <c r="M153" s="30">
        <v>86</v>
      </c>
      <c r="N153" s="30">
        <v>4</v>
      </c>
      <c r="Z153" s="82" t="str">
        <f>IF(SUM(M153,N153)=C153,"DONE"," ")</f>
        <v>DONE</v>
      </c>
      <c r="AA153" s="102">
        <v>45868</v>
      </c>
      <c r="AB153" s="102">
        <v>45926</v>
      </c>
      <c r="AC153" t="s">
        <v>512</v>
      </c>
      <c r="AE153" s="101"/>
    </row>
    <row r="154" spans="1:31">
      <c r="A154" s="26">
        <v>167</v>
      </c>
      <c r="B154" s="231">
        <v>45868</v>
      </c>
      <c r="C154" s="28">
        <v>90</v>
      </c>
      <c r="D154" s="286"/>
      <c r="E154" s="27"/>
      <c r="F154" s="28" t="s">
        <v>467</v>
      </c>
      <c r="G154" s="188" t="s">
        <v>436</v>
      </c>
      <c r="H154" s="30">
        <v>90</v>
      </c>
      <c r="I154" s="188" t="s">
        <v>436</v>
      </c>
      <c r="J154" s="91" t="s">
        <v>436</v>
      </c>
      <c r="K154" s="188" t="s">
        <v>436</v>
      </c>
      <c r="L154" s="91" t="s">
        <v>436</v>
      </c>
      <c r="M154" s="30">
        <v>89</v>
      </c>
      <c r="N154" s="30">
        <v>1</v>
      </c>
      <c r="Z154" s="82" t="str">
        <f>IF(SUM(M154,N154)=C154,"DONE"," ")</f>
        <v>DONE</v>
      </c>
      <c r="AA154" s="102">
        <v>45869</v>
      </c>
      <c r="AB154" s="102">
        <v>45926</v>
      </c>
      <c r="AC154" t="s">
        <v>530</v>
      </c>
      <c r="AE154" s="101"/>
    </row>
    <row r="155" spans="1:31">
      <c r="A155" s="26">
        <v>168</v>
      </c>
      <c r="B155" s="231">
        <v>45868</v>
      </c>
      <c r="C155" s="28">
        <v>90</v>
      </c>
      <c r="D155" s="286"/>
      <c r="E155" s="27"/>
      <c r="F155" s="28" t="s">
        <v>467</v>
      </c>
      <c r="G155" s="188" t="s">
        <v>436</v>
      </c>
      <c r="H155" s="30">
        <v>90</v>
      </c>
      <c r="I155" s="188" t="s">
        <v>436</v>
      </c>
      <c r="J155" s="91" t="s">
        <v>436</v>
      </c>
      <c r="K155" s="188" t="s">
        <v>436</v>
      </c>
      <c r="L155" s="91" t="s">
        <v>436</v>
      </c>
      <c r="M155" s="30">
        <v>89</v>
      </c>
      <c r="N155" s="30">
        <v>1</v>
      </c>
      <c r="Z155" s="82" t="str">
        <f>IF(SUM(M155,N155)=C155,"DONE"," ")</f>
        <v>DONE</v>
      </c>
      <c r="AA155" s="102">
        <v>45869</v>
      </c>
      <c r="AB155" s="102">
        <v>45889</v>
      </c>
      <c r="AC155" t="s">
        <v>531</v>
      </c>
      <c r="AE155" s="101"/>
    </row>
    <row r="156" spans="1:31">
      <c r="A156" s="26">
        <v>169</v>
      </c>
      <c r="B156" s="231">
        <v>45869</v>
      </c>
      <c r="C156" s="28">
        <v>90</v>
      </c>
      <c r="D156" s="286"/>
      <c r="E156" s="27"/>
      <c r="F156" s="28" t="s">
        <v>469</v>
      </c>
      <c r="G156" s="188" t="s">
        <v>436</v>
      </c>
      <c r="H156" s="30">
        <v>90</v>
      </c>
      <c r="I156" s="188" t="s">
        <v>436</v>
      </c>
      <c r="J156" s="91" t="s">
        <v>436</v>
      </c>
      <c r="K156" s="188" t="s">
        <v>436</v>
      </c>
      <c r="L156" s="91" t="s">
        <v>436</v>
      </c>
      <c r="M156" s="30">
        <v>88</v>
      </c>
      <c r="N156" s="30">
        <v>2</v>
      </c>
      <c r="Z156" s="82" t="str">
        <f>IF(SUM(M156,N156)=C156,"DONE"," ")</f>
        <v>DONE</v>
      </c>
      <c r="AA156" s="102">
        <v>45870</v>
      </c>
      <c r="AB156" s="102">
        <v>45926</v>
      </c>
      <c r="AC156" t="s">
        <v>512</v>
      </c>
      <c r="AE156" s="101"/>
    </row>
    <row r="157" spans="1:31">
      <c r="A157" s="26">
        <v>177</v>
      </c>
      <c r="B157" s="231">
        <v>45869</v>
      </c>
      <c r="C157" s="28">
        <v>90</v>
      </c>
      <c r="D157" s="286"/>
      <c r="E157" s="27"/>
      <c r="F157" s="28" t="s">
        <v>470</v>
      </c>
      <c r="G157" s="188" t="s">
        <v>436</v>
      </c>
      <c r="H157" s="30">
        <v>90</v>
      </c>
      <c r="I157" s="188" t="s">
        <v>436</v>
      </c>
      <c r="J157" s="91" t="s">
        <v>436</v>
      </c>
      <c r="K157" s="188" t="s">
        <v>436</v>
      </c>
      <c r="L157" s="91" t="s">
        <v>436</v>
      </c>
      <c r="M157" s="30">
        <v>86</v>
      </c>
      <c r="N157" s="30">
        <v>4</v>
      </c>
      <c r="Z157" s="82" t="str">
        <f>IF(SUM(M157,N157)=C157,"DONE"," ")</f>
        <v>DONE</v>
      </c>
      <c r="AA157" s="102">
        <v>45870</v>
      </c>
      <c r="AB157" s="102">
        <v>45926</v>
      </c>
      <c r="AC157" t="s">
        <v>512</v>
      </c>
      <c r="AE157" s="101"/>
    </row>
    <row r="158" spans="1:31">
      <c r="A158" s="26">
        <v>170</v>
      </c>
      <c r="B158" s="231">
        <v>45869</v>
      </c>
      <c r="C158" s="28">
        <v>90</v>
      </c>
      <c r="D158" s="286"/>
      <c r="E158" s="27"/>
      <c r="F158" s="28" t="s">
        <v>478</v>
      </c>
      <c r="G158" s="188" t="s">
        <v>436</v>
      </c>
      <c r="H158" s="30">
        <v>90</v>
      </c>
      <c r="I158" s="188" t="s">
        <v>436</v>
      </c>
      <c r="J158" s="91" t="s">
        <v>436</v>
      </c>
      <c r="K158" s="188" t="s">
        <v>436</v>
      </c>
      <c r="L158" s="91" t="s">
        <v>436</v>
      </c>
      <c r="M158" s="30">
        <v>79</v>
      </c>
      <c r="N158" s="30">
        <v>11</v>
      </c>
      <c r="Z158" s="82" t="str">
        <f>IF(SUM(M158,N158)=C158,"DONE"," ")</f>
        <v>DONE</v>
      </c>
      <c r="AA158" s="102">
        <v>45873</v>
      </c>
      <c r="AB158" s="102">
        <v>45926</v>
      </c>
      <c r="AC158" t="s">
        <v>530</v>
      </c>
      <c r="AE158" s="101"/>
    </row>
    <row r="159" spans="1:31">
      <c r="A159" s="26">
        <v>190</v>
      </c>
      <c r="B159" s="231">
        <v>45870</v>
      </c>
      <c r="C159" s="28">
        <v>90</v>
      </c>
      <c r="D159" s="286"/>
      <c r="E159" s="27"/>
      <c r="F159" s="28" t="s">
        <v>478</v>
      </c>
      <c r="G159" s="188" t="s">
        <v>436</v>
      </c>
      <c r="H159" s="30">
        <v>90</v>
      </c>
      <c r="I159" s="188" t="s">
        <v>436</v>
      </c>
      <c r="J159" s="91" t="s">
        <v>436</v>
      </c>
      <c r="K159" s="188" t="s">
        <v>436</v>
      </c>
      <c r="L159" s="91" t="s">
        <v>436</v>
      </c>
      <c r="M159" s="30">
        <v>89</v>
      </c>
      <c r="N159" s="30">
        <v>1</v>
      </c>
      <c r="Z159" s="82" t="str">
        <f>IF(SUM(M159,N159)=C159,"DONE"," ")</f>
        <v>DONE</v>
      </c>
      <c r="AA159" s="102">
        <v>45870</v>
      </c>
      <c r="AB159" s="102">
        <v>45889</v>
      </c>
      <c r="AC159" t="s">
        <v>532</v>
      </c>
      <c r="AE159" s="101"/>
    </row>
    <row r="160" spans="1:31">
      <c r="A160" s="26">
        <v>171</v>
      </c>
      <c r="B160" s="231">
        <v>45871</v>
      </c>
      <c r="C160" s="28">
        <v>90</v>
      </c>
      <c r="D160" s="286"/>
      <c r="E160" s="27"/>
      <c r="F160" s="28" t="s">
        <v>470</v>
      </c>
      <c r="G160" s="188" t="s">
        <v>436</v>
      </c>
      <c r="H160" s="30">
        <v>90</v>
      </c>
      <c r="I160" s="188" t="s">
        <v>436</v>
      </c>
      <c r="J160" s="91" t="s">
        <v>436</v>
      </c>
      <c r="K160" s="188" t="s">
        <v>436</v>
      </c>
      <c r="L160" s="91" t="s">
        <v>436</v>
      </c>
      <c r="M160" s="30">
        <v>83</v>
      </c>
      <c r="N160" s="30">
        <v>7</v>
      </c>
      <c r="Z160" s="82" t="str">
        <f>IF(SUM(M160,N160)=C160,"DONE"," ")</f>
        <v>DONE</v>
      </c>
      <c r="AA160" s="102">
        <v>45874</v>
      </c>
      <c r="AB160" s="102">
        <v>45926</v>
      </c>
      <c r="AC160" t="s">
        <v>530</v>
      </c>
      <c r="AE160" s="101"/>
    </row>
    <row r="161" spans="1:31">
      <c r="A161" s="26">
        <v>173</v>
      </c>
      <c r="B161" s="231">
        <v>45872</v>
      </c>
      <c r="C161" s="28">
        <v>91</v>
      </c>
      <c r="D161" s="286"/>
      <c r="E161" s="27"/>
      <c r="F161" s="28" t="s">
        <v>469</v>
      </c>
      <c r="G161" s="188" t="s">
        <v>436</v>
      </c>
      <c r="H161" s="30">
        <v>91</v>
      </c>
      <c r="I161" s="188" t="s">
        <v>436</v>
      </c>
      <c r="J161" s="91" t="s">
        <v>436</v>
      </c>
      <c r="K161" s="188" t="s">
        <v>436</v>
      </c>
      <c r="L161" s="91" t="s">
        <v>436</v>
      </c>
      <c r="M161" s="30">
        <v>89</v>
      </c>
      <c r="N161" s="30">
        <v>2</v>
      </c>
      <c r="Z161" s="82" t="str">
        <f>IF(SUM(M161,N161)=C161,"DONE"," ")</f>
        <v>DONE</v>
      </c>
      <c r="AA161" s="102">
        <v>45874</v>
      </c>
      <c r="AB161" s="102">
        <v>45926</v>
      </c>
      <c r="AC161"/>
      <c r="AE161" s="101"/>
    </row>
    <row r="162" spans="1:31">
      <c r="A162" s="26">
        <v>175</v>
      </c>
      <c r="B162" s="231">
        <v>45872</v>
      </c>
      <c r="C162" s="28">
        <v>90</v>
      </c>
      <c r="D162" s="286"/>
      <c r="E162" s="27"/>
      <c r="F162" s="28" t="s">
        <v>467</v>
      </c>
      <c r="G162" s="188" t="s">
        <v>436</v>
      </c>
      <c r="H162" s="30">
        <v>90</v>
      </c>
      <c r="I162" s="188" t="s">
        <v>436</v>
      </c>
      <c r="J162" s="91" t="s">
        <v>436</v>
      </c>
      <c r="K162" s="188" t="s">
        <v>436</v>
      </c>
      <c r="L162" s="91" t="s">
        <v>436</v>
      </c>
      <c r="M162" s="30">
        <v>89</v>
      </c>
      <c r="N162" s="30">
        <v>1</v>
      </c>
      <c r="Z162" s="82" t="str">
        <f>IF(SUM(M162,N162)=C162,"DONE"," ")</f>
        <v>DONE</v>
      </c>
      <c r="AA162" s="102">
        <v>45873</v>
      </c>
      <c r="AB162" s="102">
        <v>45889</v>
      </c>
      <c r="AC162"/>
      <c r="AE162" s="101"/>
    </row>
    <row r="163" spans="1:31">
      <c r="A163" s="26">
        <v>176</v>
      </c>
      <c r="B163" s="231">
        <v>45872</v>
      </c>
      <c r="C163" s="28">
        <v>90</v>
      </c>
      <c r="D163" s="286"/>
      <c r="E163" s="27"/>
      <c r="F163" s="28" t="s">
        <v>467</v>
      </c>
      <c r="G163" s="188" t="s">
        <v>436</v>
      </c>
      <c r="H163" s="30">
        <v>90</v>
      </c>
      <c r="I163" s="188" t="s">
        <v>436</v>
      </c>
      <c r="J163" s="91" t="s">
        <v>436</v>
      </c>
      <c r="K163" s="188" t="s">
        <v>436</v>
      </c>
      <c r="L163" s="91" t="s">
        <v>436</v>
      </c>
      <c r="M163" s="30">
        <v>89</v>
      </c>
      <c r="N163" s="30">
        <v>1</v>
      </c>
      <c r="Z163" s="82" t="str">
        <f>IF(SUM(M163,N163)=C163,"DONE"," ")</f>
        <v>DONE</v>
      </c>
      <c r="AA163" s="102">
        <v>45874</v>
      </c>
      <c r="AB163" s="102">
        <v>45926</v>
      </c>
      <c r="AC163" t="s">
        <v>512</v>
      </c>
      <c r="AE163" s="101"/>
    </row>
    <row r="164" spans="1:31">
      <c r="A164" s="26">
        <v>179</v>
      </c>
      <c r="B164" s="231">
        <v>45870</v>
      </c>
      <c r="C164" s="28">
        <v>90</v>
      </c>
      <c r="D164" s="286"/>
      <c r="E164" s="27"/>
      <c r="F164" s="28" t="s">
        <v>491</v>
      </c>
      <c r="G164" s="188" t="s">
        <v>436</v>
      </c>
      <c r="H164" s="30">
        <v>90</v>
      </c>
      <c r="I164" s="188" t="s">
        <v>436</v>
      </c>
      <c r="J164" s="91" t="s">
        <v>436</v>
      </c>
      <c r="K164" s="188" t="s">
        <v>436</v>
      </c>
      <c r="L164" s="91" t="s">
        <v>436</v>
      </c>
      <c r="M164" s="30">
        <v>85</v>
      </c>
      <c r="N164" s="30">
        <v>5</v>
      </c>
      <c r="Z164" s="82" t="str">
        <f>IF(SUM(M164,N164)=C164,"DONE"," ")</f>
        <v>DONE</v>
      </c>
      <c r="AA164" s="102">
        <v>45873</v>
      </c>
      <c r="AB164" s="102">
        <v>45926</v>
      </c>
      <c r="AC164" t="s">
        <v>512</v>
      </c>
      <c r="AE164" s="101"/>
    </row>
    <row r="165" spans="1:31">
      <c r="A165" s="26">
        <v>178</v>
      </c>
      <c r="B165" s="233">
        <v>45873</v>
      </c>
      <c r="C165" s="28">
        <v>90</v>
      </c>
      <c r="D165" s="286"/>
      <c r="E165" s="27"/>
      <c r="F165" s="28" t="s">
        <v>470</v>
      </c>
      <c r="G165" s="188" t="s">
        <v>436</v>
      </c>
      <c r="H165" s="30">
        <v>90</v>
      </c>
      <c r="I165" s="188" t="s">
        <v>436</v>
      </c>
      <c r="J165" s="91" t="s">
        <v>436</v>
      </c>
      <c r="K165" s="188" t="s">
        <v>436</v>
      </c>
      <c r="L165" s="91" t="s">
        <v>436</v>
      </c>
      <c r="M165" s="30">
        <v>89</v>
      </c>
      <c r="N165" s="30">
        <v>1</v>
      </c>
      <c r="Z165" s="82" t="str">
        <f>IF(SUM(M165,N165)=C165,"DONE"," ")</f>
        <v>DONE</v>
      </c>
      <c r="AA165" s="102">
        <v>45875</v>
      </c>
      <c r="AB165" s="92">
        <v>45950</v>
      </c>
      <c r="AC165" t="s">
        <v>512</v>
      </c>
      <c r="AE165" s="101"/>
    </row>
    <row r="166" spans="1:31">
      <c r="A166" s="26">
        <v>180</v>
      </c>
      <c r="B166" s="233">
        <v>45874</v>
      </c>
      <c r="C166" s="28">
        <v>90</v>
      </c>
      <c r="D166" s="286"/>
      <c r="E166" s="27"/>
      <c r="F166" s="28" t="s">
        <v>467</v>
      </c>
      <c r="G166" s="188" t="s">
        <v>436</v>
      </c>
      <c r="H166" s="30">
        <v>90</v>
      </c>
      <c r="I166" s="188" t="s">
        <v>436</v>
      </c>
      <c r="J166" s="91" t="s">
        <v>436</v>
      </c>
      <c r="K166" s="188" t="s">
        <v>436</v>
      </c>
      <c r="L166" s="91" t="s">
        <v>436</v>
      </c>
      <c r="M166" s="30">
        <v>87</v>
      </c>
      <c r="N166" s="30">
        <v>3</v>
      </c>
      <c r="Z166" s="82" t="str">
        <f>IF(SUM(M166,N166)=C166,"DONE"," ")</f>
        <v>DONE</v>
      </c>
      <c r="AA166" s="102">
        <v>45875</v>
      </c>
      <c r="AB166" s="92">
        <v>45950</v>
      </c>
      <c r="AC166" t="s">
        <v>512</v>
      </c>
      <c r="AE166" s="101"/>
    </row>
    <row r="167" spans="1:31">
      <c r="A167" s="26">
        <v>181</v>
      </c>
      <c r="B167" s="233">
        <v>45874</v>
      </c>
      <c r="C167" s="28">
        <v>90</v>
      </c>
      <c r="D167" s="286"/>
      <c r="E167" s="27"/>
      <c r="F167" s="28" t="s">
        <v>472</v>
      </c>
      <c r="G167" s="188" t="s">
        <v>436</v>
      </c>
      <c r="H167" s="30">
        <v>90</v>
      </c>
      <c r="I167" s="188" t="s">
        <v>436</v>
      </c>
      <c r="J167" s="91" t="s">
        <v>436</v>
      </c>
      <c r="K167" s="188" t="s">
        <v>436</v>
      </c>
      <c r="L167" s="91" t="s">
        <v>436</v>
      </c>
      <c r="M167" s="30">
        <v>89</v>
      </c>
      <c r="N167" s="30">
        <v>1</v>
      </c>
      <c r="Z167" s="82" t="str">
        <f>IF(SUM(M167,N167)=C167,"DONE"," ")</f>
        <v>DONE</v>
      </c>
      <c r="AA167" s="102">
        <v>45876</v>
      </c>
      <c r="AB167" s="92">
        <v>45950</v>
      </c>
      <c r="AC167" t="s">
        <v>512</v>
      </c>
      <c r="AE167" s="101"/>
    </row>
    <row r="168" spans="1:31">
      <c r="A168" s="26">
        <v>182</v>
      </c>
      <c r="B168" s="233">
        <v>45875</v>
      </c>
      <c r="C168" s="28">
        <v>91</v>
      </c>
      <c r="D168" s="286"/>
      <c r="E168" s="27"/>
      <c r="F168" s="28" t="s">
        <v>470</v>
      </c>
      <c r="G168" s="188" t="s">
        <v>436</v>
      </c>
      <c r="H168" s="30">
        <v>91</v>
      </c>
      <c r="I168" s="188" t="s">
        <v>436</v>
      </c>
      <c r="J168" s="91" t="s">
        <v>436</v>
      </c>
      <c r="K168" s="188" t="s">
        <v>436</v>
      </c>
      <c r="L168" s="91" t="s">
        <v>436</v>
      </c>
      <c r="M168" s="30">
        <v>90</v>
      </c>
      <c r="N168" s="30">
        <v>1</v>
      </c>
      <c r="Z168" s="82" t="str">
        <f>IF(SUM(M168,N168)=C168,"DONE"," ")</f>
        <v>DONE</v>
      </c>
      <c r="AA168" s="102">
        <v>45876</v>
      </c>
      <c r="AB168" s="92">
        <v>45950</v>
      </c>
      <c r="AC168" t="s">
        <v>512</v>
      </c>
      <c r="AE168" s="101"/>
    </row>
    <row r="169" spans="1:31">
      <c r="A169" s="26">
        <v>183</v>
      </c>
      <c r="B169" s="233">
        <v>45875</v>
      </c>
      <c r="C169" s="28">
        <v>90</v>
      </c>
      <c r="D169" s="286"/>
      <c r="E169" s="27"/>
      <c r="F169" s="28" t="s">
        <v>494</v>
      </c>
      <c r="G169" s="188" t="s">
        <v>436</v>
      </c>
      <c r="H169" s="30">
        <v>90</v>
      </c>
      <c r="I169" s="188" t="s">
        <v>436</v>
      </c>
      <c r="J169" s="91" t="s">
        <v>436</v>
      </c>
      <c r="K169" s="188" t="s">
        <v>436</v>
      </c>
      <c r="L169" s="91" t="s">
        <v>436</v>
      </c>
      <c r="M169" s="30">
        <v>88</v>
      </c>
      <c r="N169" s="30">
        <v>2</v>
      </c>
      <c r="Z169" s="82" t="str">
        <f>IF(SUM(M169,N169)=C169,"DONE"," ")</f>
        <v>DONE</v>
      </c>
      <c r="AA169" s="102">
        <v>45876</v>
      </c>
      <c r="AB169" s="92">
        <v>45950</v>
      </c>
      <c r="AC169" t="s">
        <v>512</v>
      </c>
      <c r="AE169" s="101"/>
    </row>
    <row r="170" spans="1:31">
      <c r="A170" s="26">
        <v>184</v>
      </c>
      <c r="B170" s="233">
        <v>45876</v>
      </c>
      <c r="C170" s="28">
        <v>90</v>
      </c>
      <c r="D170" s="286"/>
      <c r="E170" s="27"/>
      <c r="F170" s="28" t="s">
        <v>467</v>
      </c>
      <c r="G170" s="188" t="s">
        <v>436</v>
      </c>
      <c r="H170" s="30">
        <v>90</v>
      </c>
      <c r="I170" s="188" t="s">
        <v>436</v>
      </c>
      <c r="J170" s="91" t="s">
        <v>436</v>
      </c>
      <c r="K170" s="188" t="s">
        <v>436</v>
      </c>
      <c r="L170" s="91" t="s">
        <v>436</v>
      </c>
      <c r="M170" s="30">
        <v>88</v>
      </c>
      <c r="N170" s="30">
        <v>2</v>
      </c>
      <c r="Z170" s="82" t="str">
        <f>IF(SUM(M170,N170)=C170,"DONE"," ")</f>
        <v>DONE</v>
      </c>
      <c r="AA170" s="102">
        <v>45877</v>
      </c>
      <c r="AB170" s="92">
        <v>45950</v>
      </c>
      <c r="AC170" t="s">
        <v>512</v>
      </c>
      <c r="AE170" s="101"/>
    </row>
    <row r="171" spans="1:31">
      <c r="A171" s="26">
        <v>185</v>
      </c>
      <c r="B171" s="233">
        <v>45876</v>
      </c>
      <c r="C171" s="28">
        <v>90</v>
      </c>
      <c r="D171" s="286"/>
      <c r="E171" s="27"/>
      <c r="F171" s="28" t="s">
        <v>491</v>
      </c>
      <c r="G171" s="188" t="s">
        <v>436</v>
      </c>
      <c r="H171" s="30">
        <v>90</v>
      </c>
      <c r="I171" s="188" t="s">
        <v>436</v>
      </c>
      <c r="J171" s="91" t="s">
        <v>436</v>
      </c>
      <c r="K171" s="188" t="s">
        <v>436</v>
      </c>
      <c r="L171" s="91" t="s">
        <v>436</v>
      </c>
      <c r="M171" s="30">
        <v>88</v>
      </c>
      <c r="N171" s="30">
        <v>2</v>
      </c>
      <c r="Z171" s="82" t="str">
        <f>IF(SUM(M171,N171)=C171,"DONE"," ")</f>
        <v>DONE</v>
      </c>
      <c r="AA171" s="102">
        <v>45877</v>
      </c>
      <c r="AB171" s="92">
        <v>45950</v>
      </c>
      <c r="AC171" t="s">
        <v>512</v>
      </c>
      <c r="AE171" s="101"/>
    </row>
    <row r="172" spans="1:31">
      <c r="A172" s="26">
        <v>206</v>
      </c>
      <c r="B172" s="234">
        <v>45877</v>
      </c>
      <c r="C172" s="28">
        <v>90</v>
      </c>
      <c r="D172" s="286"/>
      <c r="E172" s="27"/>
      <c r="F172" s="28" t="s">
        <v>533</v>
      </c>
      <c r="G172" s="188" t="s">
        <v>436</v>
      </c>
      <c r="H172" s="30">
        <v>90</v>
      </c>
      <c r="I172" s="188" t="s">
        <v>436</v>
      </c>
      <c r="J172" s="91" t="s">
        <v>436</v>
      </c>
      <c r="K172" s="188" t="s">
        <v>436</v>
      </c>
      <c r="L172" s="91" t="s">
        <v>436</v>
      </c>
      <c r="M172" s="30">
        <v>86</v>
      </c>
      <c r="N172" s="75" t="str">
        <f>IF(M172=C172,"-","")</f>
        <v/>
      </c>
      <c r="Z172" s="82" t="str">
        <f>IF(SUM(M172,N172)=C172,"DONE"," ")</f>
        <v xml:space="preserve"> </v>
      </c>
      <c r="AA172" s="93">
        <v>45880</v>
      </c>
      <c r="AB172" s="105"/>
      <c r="AC172" t="s">
        <v>512</v>
      </c>
      <c r="AE172" s="101"/>
    </row>
    <row r="173" spans="1:31">
      <c r="A173" s="26">
        <v>186</v>
      </c>
      <c r="B173" s="233">
        <v>45878</v>
      </c>
      <c r="C173" s="28">
        <v>90</v>
      </c>
      <c r="D173" s="286"/>
      <c r="E173" s="27"/>
      <c r="F173" s="28" t="s">
        <v>491</v>
      </c>
      <c r="G173" s="188" t="s">
        <v>436</v>
      </c>
      <c r="H173" s="30">
        <v>90</v>
      </c>
      <c r="I173" s="188" t="s">
        <v>436</v>
      </c>
      <c r="J173" s="91" t="s">
        <v>436</v>
      </c>
      <c r="K173" s="188" t="s">
        <v>436</v>
      </c>
      <c r="L173" s="91" t="s">
        <v>436</v>
      </c>
      <c r="M173" s="30">
        <v>87</v>
      </c>
      <c r="N173" s="30">
        <v>3</v>
      </c>
      <c r="Z173" s="82" t="str">
        <f>IF(SUM(M173,N173)=C173,"DONE"," ")</f>
        <v>DONE</v>
      </c>
      <c r="AA173" s="92">
        <v>45881</v>
      </c>
      <c r="AB173" s="92">
        <v>45950</v>
      </c>
      <c r="AC173" t="s">
        <v>512</v>
      </c>
      <c r="AE173" s="101"/>
    </row>
    <row r="174" spans="1:31">
      <c r="A174" s="26">
        <v>187</v>
      </c>
      <c r="B174" s="234">
        <v>45878</v>
      </c>
      <c r="C174" s="28">
        <v>90</v>
      </c>
      <c r="D174" s="286"/>
      <c r="E174" s="27"/>
      <c r="F174" s="28" t="s">
        <v>467</v>
      </c>
      <c r="G174" s="188" t="s">
        <v>436</v>
      </c>
      <c r="H174" s="30">
        <v>90</v>
      </c>
      <c r="I174" s="188" t="s">
        <v>436</v>
      </c>
      <c r="J174" s="91" t="s">
        <v>436</v>
      </c>
      <c r="K174" s="188" t="s">
        <v>436</v>
      </c>
      <c r="L174" s="91" t="s">
        <v>436</v>
      </c>
      <c r="M174" s="30">
        <v>88</v>
      </c>
      <c r="N174" s="75" t="str">
        <f>IF(M174=C174,"-","")</f>
        <v/>
      </c>
      <c r="Z174" s="82" t="str">
        <f>IF(SUM(M174,N174)=C174,"DONE"," ")</f>
        <v xml:space="preserve"> </v>
      </c>
      <c r="AA174" s="93">
        <v>45883</v>
      </c>
      <c r="AB174" s="105"/>
      <c r="AC174" t="s">
        <v>512</v>
      </c>
      <c r="AE174" s="101"/>
    </row>
    <row r="175" spans="1:31">
      <c r="A175" s="26">
        <v>188</v>
      </c>
      <c r="B175" s="234">
        <v>45878</v>
      </c>
      <c r="C175" s="28">
        <v>90</v>
      </c>
      <c r="D175" s="286"/>
      <c r="E175" s="27"/>
      <c r="F175" s="28" t="s">
        <v>467</v>
      </c>
      <c r="G175" s="188" t="s">
        <v>436</v>
      </c>
      <c r="H175" s="30">
        <v>90</v>
      </c>
      <c r="I175" s="188" t="s">
        <v>436</v>
      </c>
      <c r="J175" s="91" t="s">
        <v>436</v>
      </c>
      <c r="K175" s="188" t="s">
        <v>436</v>
      </c>
      <c r="L175" s="91" t="s">
        <v>436</v>
      </c>
      <c r="M175" s="30">
        <v>89</v>
      </c>
      <c r="N175" s="75" t="str">
        <f>IF(M175=C175,"-","")</f>
        <v/>
      </c>
      <c r="Z175" s="82" t="str">
        <f>IF(SUM(M175,N175)=C175,"DONE"," ")</f>
        <v xml:space="preserve"> </v>
      </c>
      <c r="AA175" s="93">
        <v>45880</v>
      </c>
      <c r="AB175" s="105"/>
      <c r="AC175" t="s">
        <v>512</v>
      </c>
      <c r="AE175" s="101"/>
    </row>
    <row r="176" spans="1:31">
      <c r="A176" s="26">
        <v>189</v>
      </c>
      <c r="B176" s="234">
        <v>45879</v>
      </c>
      <c r="C176" s="28">
        <v>90</v>
      </c>
      <c r="D176" s="286"/>
      <c r="E176" s="27"/>
      <c r="F176" s="28" t="s">
        <v>491</v>
      </c>
      <c r="G176" s="188" t="s">
        <v>436</v>
      </c>
      <c r="H176" s="30">
        <v>90</v>
      </c>
      <c r="I176" s="188" t="s">
        <v>436</v>
      </c>
      <c r="J176" s="91" t="s">
        <v>436</v>
      </c>
      <c r="K176" s="188" t="s">
        <v>436</v>
      </c>
      <c r="L176" s="91" t="s">
        <v>436</v>
      </c>
      <c r="M176" s="30">
        <v>85</v>
      </c>
      <c r="N176" s="75" t="str">
        <f>IF(M176=C176,"-","")</f>
        <v/>
      </c>
      <c r="Z176" s="82" t="str">
        <f>IF(SUM(M176,N176)=C176,"DONE"," ")</f>
        <v xml:space="preserve"> </v>
      </c>
      <c r="AA176" s="93">
        <v>45881</v>
      </c>
      <c r="AB176" s="105"/>
      <c r="AC176" t="s">
        <v>512</v>
      </c>
      <c r="AE176" s="101"/>
    </row>
    <row r="177" spans="1:31">
      <c r="A177" s="26">
        <v>191</v>
      </c>
      <c r="B177" s="233">
        <v>45880</v>
      </c>
      <c r="C177" s="28">
        <v>90</v>
      </c>
      <c r="D177" s="286"/>
      <c r="E177" s="27"/>
      <c r="F177" s="28" t="s">
        <v>491</v>
      </c>
      <c r="G177" s="188" t="s">
        <v>436</v>
      </c>
      <c r="H177" s="30">
        <v>90</v>
      </c>
      <c r="I177" s="188" t="s">
        <v>436</v>
      </c>
      <c r="J177" s="91" t="s">
        <v>436</v>
      </c>
      <c r="K177" s="188" t="s">
        <v>436</v>
      </c>
      <c r="L177" s="91" t="s">
        <v>436</v>
      </c>
      <c r="M177" s="30">
        <v>87</v>
      </c>
      <c r="N177" s="30">
        <v>3</v>
      </c>
      <c r="Z177" s="82" t="str">
        <f>IF(SUM(M177,N177)=C177,"DONE"," ")</f>
        <v>DONE</v>
      </c>
      <c r="AA177" s="92">
        <v>45883</v>
      </c>
      <c r="AB177" s="92">
        <v>45950</v>
      </c>
      <c r="AC177" t="s">
        <v>512</v>
      </c>
      <c r="AE177" s="101"/>
    </row>
    <row r="178" spans="1:31">
      <c r="A178" s="26">
        <v>207</v>
      </c>
      <c r="B178" s="232">
        <v>45887</v>
      </c>
      <c r="C178" s="28">
        <v>90</v>
      </c>
      <c r="D178" s="286"/>
      <c r="E178" s="27"/>
      <c r="F178" s="28" t="s">
        <v>494</v>
      </c>
      <c r="G178" s="188" t="s">
        <v>436</v>
      </c>
      <c r="H178" s="30">
        <v>90</v>
      </c>
      <c r="I178" s="188" t="s">
        <v>436</v>
      </c>
      <c r="J178" s="91" t="s">
        <v>436</v>
      </c>
      <c r="K178" s="188" t="s">
        <v>436</v>
      </c>
      <c r="L178" s="91" t="s">
        <v>436</v>
      </c>
      <c r="M178" s="30">
        <v>86</v>
      </c>
      <c r="N178" s="75" t="str">
        <f>IF(M178=C178,"-","")</f>
        <v/>
      </c>
      <c r="Z178" s="82" t="str">
        <f>IF(SUM(M178,N178)=C178,"DONE"," ")</f>
        <v xml:space="preserve"> </v>
      </c>
      <c r="AA178" s="93">
        <v>45888</v>
      </c>
      <c r="AB178" s="105"/>
      <c r="AC178" t="s">
        <v>512</v>
      </c>
      <c r="AE178" s="101"/>
    </row>
    <row r="179" spans="1:31">
      <c r="A179" s="26">
        <v>208</v>
      </c>
      <c r="B179" s="233">
        <v>45887</v>
      </c>
      <c r="C179" s="28">
        <v>90</v>
      </c>
      <c r="D179" s="286"/>
      <c r="E179" s="27"/>
      <c r="F179" s="28" t="s">
        <v>473</v>
      </c>
      <c r="G179" s="188" t="s">
        <v>436</v>
      </c>
      <c r="H179" s="30">
        <v>90</v>
      </c>
      <c r="I179" s="188" t="s">
        <v>436</v>
      </c>
      <c r="J179" s="91" t="s">
        <v>436</v>
      </c>
      <c r="K179" s="188" t="s">
        <v>436</v>
      </c>
      <c r="L179" s="91" t="s">
        <v>436</v>
      </c>
      <c r="M179" s="30">
        <v>89</v>
      </c>
      <c r="N179" s="30">
        <v>1</v>
      </c>
      <c r="Z179" s="82" t="str">
        <f>IF(SUM(M179,N179)=C179,"DONE"," ")</f>
        <v>DONE</v>
      </c>
      <c r="AA179" s="92">
        <v>45889</v>
      </c>
      <c r="AB179" s="92">
        <v>45950</v>
      </c>
      <c r="AC179" t="s">
        <v>512</v>
      </c>
      <c r="AE179" s="101"/>
    </row>
    <row r="180" spans="1:31">
      <c r="A180" s="26">
        <v>209</v>
      </c>
      <c r="B180" s="233">
        <v>45887</v>
      </c>
      <c r="C180" s="28">
        <v>90</v>
      </c>
      <c r="D180" s="286"/>
      <c r="E180" s="27"/>
      <c r="F180" s="28" t="s">
        <v>494</v>
      </c>
      <c r="G180" s="188" t="s">
        <v>436</v>
      </c>
      <c r="H180" s="30">
        <v>90</v>
      </c>
      <c r="I180" s="188" t="s">
        <v>436</v>
      </c>
      <c r="J180" s="91" t="s">
        <v>436</v>
      </c>
      <c r="K180" s="188" t="s">
        <v>436</v>
      </c>
      <c r="L180" s="91" t="s">
        <v>436</v>
      </c>
      <c r="M180" s="30">
        <v>88</v>
      </c>
      <c r="N180" s="30">
        <v>2</v>
      </c>
      <c r="Z180" s="82" t="str">
        <f>IF(SUM(M180,N180)=C180,"DONE"," ")</f>
        <v>DONE</v>
      </c>
      <c r="AA180" s="92">
        <v>45888</v>
      </c>
      <c r="AB180" s="92">
        <v>45950</v>
      </c>
      <c r="AC180" t="s">
        <v>512</v>
      </c>
      <c r="AE180" s="101"/>
    </row>
    <row r="181" spans="1:31">
      <c r="A181" s="26">
        <v>192</v>
      </c>
      <c r="B181" s="232">
        <v>45888</v>
      </c>
      <c r="C181" s="28">
        <v>90</v>
      </c>
      <c r="D181" s="286"/>
      <c r="E181" s="27"/>
      <c r="F181" s="28" t="s">
        <v>534</v>
      </c>
      <c r="G181" s="188" t="s">
        <v>436</v>
      </c>
      <c r="H181" s="30">
        <v>90</v>
      </c>
      <c r="I181" s="188" t="s">
        <v>436</v>
      </c>
      <c r="J181" s="91" t="s">
        <v>436</v>
      </c>
      <c r="K181" s="188" t="s">
        <v>436</v>
      </c>
      <c r="L181" s="91" t="s">
        <v>436</v>
      </c>
      <c r="M181" s="30">
        <v>87</v>
      </c>
      <c r="N181" s="75">
        <v>3</v>
      </c>
      <c r="Z181" s="82" t="str">
        <f>IF(SUM(M181,N181)=C181,"DONE"," ")</f>
        <v>DONE</v>
      </c>
      <c r="AA181" s="93">
        <v>45890</v>
      </c>
      <c r="AB181" s="108">
        <v>46037</v>
      </c>
      <c r="AC181" t="s">
        <v>512</v>
      </c>
      <c r="AE181" s="101"/>
    </row>
    <row r="182" spans="1:31">
      <c r="A182" s="26">
        <v>210</v>
      </c>
      <c r="B182" s="233">
        <v>45889</v>
      </c>
      <c r="C182" s="28">
        <v>90</v>
      </c>
      <c r="D182" s="286"/>
      <c r="E182" s="27"/>
      <c r="F182" s="28" t="s">
        <v>491</v>
      </c>
      <c r="G182" s="188" t="s">
        <v>436</v>
      </c>
      <c r="H182" s="30">
        <v>90</v>
      </c>
      <c r="I182" s="188" t="s">
        <v>436</v>
      </c>
      <c r="J182" s="91" t="s">
        <v>436</v>
      </c>
      <c r="K182" s="188" t="s">
        <v>436</v>
      </c>
      <c r="L182" s="91" t="s">
        <v>436</v>
      </c>
      <c r="M182" s="30">
        <v>88</v>
      </c>
      <c r="N182" s="30">
        <v>2</v>
      </c>
      <c r="Z182" s="82" t="str">
        <f>IF(SUM(M182,N182)=C182,"DONE"," ")</f>
        <v>DONE</v>
      </c>
      <c r="AA182" s="92">
        <v>45889</v>
      </c>
      <c r="AB182" s="92">
        <v>45950</v>
      </c>
      <c r="AC182" t="s">
        <v>512</v>
      </c>
      <c r="AE182" s="101"/>
    </row>
    <row r="183" spans="1:31">
      <c r="A183" s="26">
        <v>211</v>
      </c>
      <c r="B183" s="232">
        <v>45890</v>
      </c>
      <c r="C183" s="28">
        <v>90</v>
      </c>
      <c r="D183" s="286"/>
      <c r="E183" s="27"/>
      <c r="F183" s="28" t="s">
        <v>478</v>
      </c>
      <c r="G183" s="188" t="s">
        <v>436</v>
      </c>
      <c r="H183" s="30">
        <v>90</v>
      </c>
      <c r="I183" s="188" t="s">
        <v>436</v>
      </c>
      <c r="J183" s="91" t="s">
        <v>436</v>
      </c>
      <c r="K183" s="188" t="s">
        <v>436</v>
      </c>
      <c r="L183" s="91" t="s">
        <v>436</v>
      </c>
      <c r="M183" s="30">
        <v>87</v>
      </c>
      <c r="N183" s="75" t="str">
        <f>IF(M183=C183,"-","")</f>
        <v/>
      </c>
      <c r="Z183" s="82" t="str">
        <f>IF(SUM(M183,N183)=C183,"DONE"," ")</f>
        <v xml:space="preserve"> </v>
      </c>
      <c r="AA183" s="93">
        <v>45890</v>
      </c>
      <c r="AB183" s="105"/>
      <c r="AC183" t="s">
        <v>512</v>
      </c>
      <c r="AE183" s="101"/>
    </row>
    <row r="184" spans="1:31">
      <c r="A184" s="26">
        <v>212</v>
      </c>
      <c r="B184" s="232">
        <v>45890</v>
      </c>
      <c r="C184" s="28">
        <v>90</v>
      </c>
      <c r="D184" s="286"/>
      <c r="E184" s="27"/>
      <c r="F184" s="28" t="s">
        <v>473</v>
      </c>
      <c r="G184" s="188" t="s">
        <v>436</v>
      </c>
      <c r="H184" s="30">
        <v>90</v>
      </c>
      <c r="I184" s="188" t="s">
        <v>436</v>
      </c>
      <c r="J184" s="91" t="s">
        <v>436</v>
      </c>
      <c r="K184" s="188" t="s">
        <v>436</v>
      </c>
      <c r="L184" s="91" t="s">
        <v>436</v>
      </c>
      <c r="M184" s="30">
        <v>87</v>
      </c>
      <c r="N184" s="75" t="str">
        <f>IF(M184=C184,"-","")</f>
        <v/>
      </c>
      <c r="Z184" s="82" t="str">
        <f>IF(SUM(M184,N184)=C184,"DONE"," ")</f>
        <v xml:space="preserve"> </v>
      </c>
      <c r="AA184" s="93">
        <v>45891</v>
      </c>
      <c r="AB184" s="105"/>
      <c r="AC184" t="s">
        <v>512</v>
      </c>
      <c r="AE184" s="101"/>
    </row>
    <row r="185" spans="1:31">
      <c r="A185" s="26">
        <v>213</v>
      </c>
      <c r="B185" s="232">
        <v>45890</v>
      </c>
      <c r="C185" s="28">
        <v>90</v>
      </c>
      <c r="D185" s="286"/>
      <c r="E185" s="27"/>
      <c r="F185" s="28" t="s">
        <v>491</v>
      </c>
      <c r="G185" s="188" t="s">
        <v>436</v>
      </c>
      <c r="H185" s="30">
        <v>90</v>
      </c>
      <c r="I185" s="188" t="s">
        <v>436</v>
      </c>
      <c r="J185" s="91" t="s">
        <v>436</v>
      </c>
      <c r="K185" s="188" t="s">
        <v>436</v>
      </c>
      <c r="L185" s="91" t="s">
        <v>436</v>
      </c>
      <c r="M185" s="30">
        <v>87</v>
      </c>
      <c r="N185" s="75" t="str">
        <f>IF(M185=C185,"-","")</f>
        <v/>
      </c>
      <c r="Z185" s="82" t="str">
        <f>IF(SUM(M185,N185)=C185,"DONE"," ")</f>
        <v xml:space="preserve"> </v>
      </c>
      <c r="AA185" s="93">
        <v>45891</v>
      </c>
      <c r="AB185" s="105"/>
      <c r="AC185" t="s">
        <v>512</v>
      </c>
      <c r="AE185" s="101"/>
    </row>
    <row r="186" spans="1:31">
      <c r="A186" s="26">
        <v>214</v>
      </c>
      <c r="B186" s="233">
        <v>45891</v>
      </c>
      <c r="C186" s="28">
        <v>90</v>
      </c>
      <c r="D186" s="286"/>
      <c r="E186" s="27"/>
      <c r="F186" s="28" t="s">
        <v>478</v>
      </c>
      <c r="G186" s="188" t="s">
        <v>436</v>
      </c>
      <c r="H186" s="30">
        <v>90</v>
      </c>
      <c r="I186" s="188" t="s">
        <v>436</v>
      </c>
      <c r="J186" s="91" t="s">
        <v>436</v>
      </c>
      <c r="K186" s="188" t="s">
        <v>436</v>
      </c>
      <c r="L186" s="91" t="s">
        <v>436</v>
      </c>
      <c r="M186" s="30">
        <v>85</v>
      </c>
      <c r="N186" s="30">
        <v>5</v>
      </c>
      <c r="Z186" s="82" t="str">
        <f>IF(SUM(M186,N186)=C186,"DONE"," ")</f>
        <v>DONE</v>
      </c>
      <c r="AA186" s="92">
        <v>45891</v>
      </c>
      <c r="AB186" s="92">
        <v>45950</v>
      </c>
      <c r="AC186" t="s">
        <v>512</v>
      </c>
      <c r="AE186" s="101"/>
    </row>
    <row r="187" spans="1:31">
      <c r="A187" s="26">
        <v>194</v>
      </c>
      <c r="B187" s="232">
        <v>45891</v>
      </c>
      <c r="C187" s="28">
        <v>90</v>
      </c>
      <c r="D187" s="286"/>
      <c r="E187" s="27"/>
      <c r="F187" s="28" t="s">
        <v>473</v>
      </c>
      <c r="G187" s="188" t="s">
        <v>436</v>
      </c>
      <c r="H187" s="30">
        <v>90</v>
      </c>
      <c r="I187" s="188" t="s">
        <v>436</v>
      </c>
      <c r="J187" s="30" t="s">
        <v>473</v>
      </c>
      <c r="K187" s="188" t="s">
        <v>436</v>
      </c>
      <c r="L187" s="30" t="s">
        <v>535</v>
      </c>
      <c r="M187" s="30">
        <v>89</v>
      </c>
      <c r="N187" s="75" t="str">
        <f>IF(M187=C187,"-","")</f>
        <v/>
      </c>
      <c r="Z187" s="82" t="str">
        <f>IF(SUM(M187,N187)=C187,"DONE"," ")</f>
        <v xml:space="preserve"> </v>
      </c>
      <c r="AA187" s="93">
        <v>45895</v>
      </c>
      <c r="AB187" s="105"/>
      <c r="AC187" t="s">
        <v>512</v>
      </c>
      <c r="AE187" s="101"/>
    </row>
    <row r="188" spans="1:31">
      <c r="A188" s="26">
        <v>195</v>
      </c>
      <c r="B188" s="233">
        <v>45894</v>
      </c>
      <c r="C188" s="28">
        <v>90</v>
      </c>
      <c r="D188" s="286"/>
      <c r="E188" s="27"/>
      <c r="F188" s="28" t="s">
        <v>494</v>
      </c>
      <c r="G188" s="188" t="s">
        <v>436</v>
      </c>
      <c r="H188" s="30">
        <v>90</v>
      </c>
      <c r="I188" s="188" t="s">
        <v>436</v>
      </c>
      <c r="J188" s="91" t="s">
        <v>436</v>
      </c>
      <c r="K188" s="188" t="s">
        <v>436</v>
      </c>
      <c r="L188" s="91" t="s">
        <v>436</v>
      </c>
      <c r="M188" s="30">
        <v>88</v>
      </c>
      <c r="N188" s="30">
        <v>2</v>
      </c>
      <c r="Z188" s="82" t="str">
        <f>IF(SUM(M188,N188)=C188,"DONE"," ")</f>
        <v>DONE</v>
      </c>
      <c r="AA188" s="92">
        <v>45894</v>
      </c>
      <c r="AB188" s="92">
        <v>45950</v>
      </c>
      <c r="AC188" t="s">
        <v>512</v>
      </c>
      <c r="AE188" s="101"/>
    </row>
    <row r="189" spans="1:31">
      <c r="A189" s="26">
        <v>196</v>
      </c>
      <c r="B189" s="233">
        <v>45894</v>
      </c>
      <c r="C189" s="28">
        <v>90</v>
      </c>
      <c r="D189" s="286"/>
      <c r="E189" s="27"/>
      <c r="F189" s="28" t="s">
        <v>470</v>
      </c>
      <c r="G189" s="188" t="s">
        <v>436</v>
      </c>
      <c r="H189" s="30">
        <v>90</v>
      </c>
      <c r="I189" s="188" t="s">
        <v>436</v>
      </c>
      <c r="J189" s="91" t="s">
        <v>436</v>
      </c>
      <c r="K189" s="188" t="s">
        <v>436</v>
      </c>
      <c r="L189" s="91" t="s">
        <v>436</v>
      </c>
      <c r="M189" s="30">
        <v>85</v>
      </c>
      <c r="N189" s="30">
        <v>5</v>
      </c>
      <c r="Z189" s="82" t="str">
        <f>IF(SUM(M189,N189)=C189,"DONE"," ")</f>
        <v>DONE</v>
      </c>
      <c r="AA189" s="92">
        <v>45895</v>
      </c>
      <c r="AB189" s="92">
        <v>45950</v>
      </c>
      <c r="AC189" t="s">
        <v>512</v>
      </c>
      <c r="AE189" s="101"/>
    </row>
    <row r="190" spans="1:31">
      <c r="A190" s="26">
        <v>197</v>
      </c>
      <c r="B190" s="232">
        <v>45894</v>
      </c>
      <c r="C190" s="28">
        <v>90</v>
      </c>
      <c r="D190" s="286"/>
      <c r="E190" s="27"/>
      <c r="F190" s="28" t="s">
        <v>469</v>
      </c>
      <c r="G190" s="188" t="s">
        <v>436</v>
      </c>
      <c r="H190" s="30">
        <v>90</v>
      </c>
      <c r="I190" s="188" t="s">
        <v>436</v>
      </c>
      <c r="J190" s="91" t="s">
        <v>436</v>
      </c>
      <c r="K190" s="188" t="s">
        <v>436</v>
      </c>
      <c r="L190" s="91" t="s">
        <v>436</v>
      </c>
      <c r="M190" s="30">
        <v>82</v>
      </c>
      <c r="N190" s="75" t="str">
        <f>IF(M190=C190,"-","")</f>
        <v/>
      </c>
      <c r="Z190" s="82" t="str">
        <f>IF(SUM(M190,N190)=C190,"DONE"," ")</f>
        <v xml:space="preserve"> </v>
      </c>
      <c r="AA190" s="93">
        <v>45896</v>
      </c>
      <c r="AB190" s="105"/>
      <c r="AC190" t="s">
        <v>512</v>
      </c>
      <c r="AE190" s="101"/>
    </row>
    <row r="191" spans="1:31">
      <c r="A191" s="26">
        <v>198</v>
      </c>
      <c r="B191" s="232">
        <v>45894</v>
      </c>
      <c r="C191" s="28">
        <v>90</v>
      </c>
      <c r="D191" s="286"/>
      <c r="E191" s="27"/>
      <c r="F191" s="28" t="s">
        <v>472</v>
      </c>
      <c r="G191" s="188" t="s">
        <v>436</v>
      </c>
      <c r="H191" s="30">
        <v>90</v>
      </c>
      <c r="I191" s="188" t="s">
        <v>436</v>
      </c>
      <c r="J191" s="91" t="s">
        <v>436</v>
      </c>
      <c r="K191" s="188" t="s">
        <v>436</v>
      </c>
      <c r="L191" s="91" t="s">
        <v>436</v>
      </c>
      <c r="M191" s="30">
        <v>86</v>
      </c>
      <c r="N191" s="75" t="str">
        <f>IF(M191=C191,"-","")</f>
        <v/>
      </c>
      <c r="Z191" s="82" t="str">
        <f>IF(SUM(M191,N191)=C191,"DONE"," ")</f>
        <v xml:space="preserve"> </v>
      </c>
      <c r="AA191" s="93">
        <v>45895</v>
      </c>
      <c r="AB191" s="105"/>
      <c r="AC191" t="s">
        <v>512</v>
      </c>
      <c r="AE191" s="101"/>
    </row>
    <row r="192" spans="1:31">
      <c r="A192" s="26">
        <v>199</v>
      </c>
      <c r="B192" s="233">
        <v>45894</v>
      </c>
      <c r="C192" s="28">
        <v>90</v>
      </c>
      <c r="D192" s="286"/>
      <c r="E192" s="27"/>
      <c r="F192" s="28" t="s">
        <v>470</v>
      </c>
      <c r="G192" s="188" t="s">
        <v>436</v>
      </c>
      <c r="H192" s="30">
        <v>90</v>
      </c>
      <c r="I192" s="188" t="s">
        <v>436</v>
      </c>
      <c r="J192" s="30" t="s">
        <v>470</v>
      </c>
      <c r="K192" s="188" t="s">
        <v>436</v>
      </c>
      <c r="L192" s="30" t="s">
        <v>535</v>
      </c>
      <c r="M192" s="30">
        <v>88</v>
      </c>
      <c r="N192" s="30">
        <v>2</v>
      </c>
      <c r="Z192" s="82" t="str">
        <f>IF(SUM(M192,N192)=C192,"DONE"," ")</f>
        <v>DONE</v>
      </c>
      <c r="AA192" s="92">
        <v>45896</v>
      </c>
      <c r="AB192" s="92">
        <v>45950</v>
      </c>
      <c r="AC192" t="s">
        <v>512</v>
      </c>
      <c r="AE192" s="101"/>
    </row>
    <row r="193" spans="1:31">
      <c r="A193" s="26">
        <v>200</v>
      </c>
      <c r="B193" s="233">
        <v>45894</v>
      </c>
      <c r="C193" s="28">
        <v>90</v>
      </c>
      <c r="D193" s="286"/>
      <c r="E193" s="27"/>
      <c r="F193" s="28" t="s">
        <v>473</v>
      </c>
      <c r="G193" s="188" t="s">
        <v>436</v>
      </c>
      <c r="H193" s="30">
        <v>90</v>
      </c>
      <c r="I193" s="188" t="s">
        <v>436</v>
      </c>
      <c r="J193" s="30" t="s">
        <v>473</v>
      </c>
      <c r="K193" s="188" t="s">
        <v>436</v>
      </c>
      <c r="L193" s="30" t="s">
        <v>535</v>
      </c>
      <c r="M193" s="30">
        <v>88</v>
      </c>
      <c r="N193" s="30">
        <v>2</v>
      </c>
      <c r="Z193" s="82" t="str">
        <f>IF(SUM(M193,N193)=C193,"DONE"," ")</f>
        <v>DONE</v>
      </c>
      <c r="AA193" s="92">
        <v>45897</v>
      </c>
      <c r="AB193" s="92">
        <v>45950</v>
      </c>
      <c r="AC193" t="s">
        <v>512</v>
      </c>
      <c r="AE193" s="101"/>
    </row>
    <row r="194" spans="1:31">
      <c r="A194" s="26">
        <v>201</v>
      </c>
      <c r="B194" s="232">
        <v>45895</v>
      </c>
      <c r="C194" s="28">
        <v>90</v>
      </c>
      <c r="D194" s="286"/>
      <c r="E194" s="27"/>
      <c r="F194" s="28" t="s">
        <v>469</v>
      </c>
      <c r="G194" s="188" t="s">
        <v>436</v>
      </c>
      <c r="H194" s="30">
        <v>90</v>
      </c>
      <c r="I194" s="188" t="s">
        <v>436</v>
      </c>
      <c r="J194" s="30" t="s">
        <v>469</v>
      </c>
      <c r="K194" s="188" t="s">
        <v>436</v>
      </c>
      <c r="L194" s="30" t="s">
        <v>535</v>
      </c>
      <c r="M194" s="30">
        <v>86</v>
      </c>
      <c r="N194" s="75" t="str">
        <f>IF(M194=C194,"-","")</f>
        <v/>
      </c>
      <c r="Z194" s="82" t="str">
        <f>IF(SUM(M194,N194)=C194,"DONE"," ")</f>
        <v xml:space="preserve"> </v>
      </c>
      <c r="AA194" s="93">
        <v>45897</v>
      </c>
      <c r="AB194" s="105"/>
      <c r="AC194" t="s">
        <v>512</v>
      </c>
      <c r="AE194" s="101"/>
    </row>
    <row r="195" spans="1:31">
      <c r="A195" s="26">
        <v>202</v>
      </c>
      <c r="B195" s="232">
        <v>45895</v>
      </c>
      <c r="C195" s="28">
        <v>90</v>
      </c>
      <c r="D195" s="286"/>
      <c r="E195" s="27"/>
      <c r="F195" s="28" t="s">
        <v>536</v>
      </c>
      <c r="G195" s="188" t="s">
        <v>436</v>
      </c>
      <c r="H195" s="30">
        <v>90</v>
      </c>
      <c r="I195" s="188" t="s">
        <v>436</v>
      </c>
      <c r="J195" s="30" t="s">
        <v>470</v>
      </c>
      <c r="K195" s="188" t="s">
        <v>436</v>
      </c>
      <c r="L195" s="30" t="s">
        <v>535</v>
      </c>
      <c r="M195" s="30">
        <v>81</v>
      </c>
      <c r="N195" s="75" t="str">
        <f>IF(M195=C195,"-","")</f>
        <v/>
      </c>
      <c r="Z195" s="82" t="str">
        <f>IF(SUM(M195,N195)=C195,"DONE"," ")</f>
        <v xml:space="preserve"> </v>
      </c>
      <c r="AA195" s="93">
        <v>45898</v>
      </c>
      <c r="AB195" s="105"/>
      <c r="AC195" t="s">
        <v>512</v>
      </c>
      <c r="AE195" s="101"/>
    </row>
    <row r="196" spans="1:31">
      <c r="A196" s="26">
        <v>227</v>
      </c>
      <c r="B196" s="233">
        <v>45895</v>
      </c>
      <c r="C196" s="28">
        <v>90</v>
      </c>
      <c r="D196" s="286"/>
      <c r="E196" s="27"/>
      <c r="F196" s="28" t="s">
        <v>472</v>
      </c>
      <c r="G196" s="188" t="s">
        <v>436</v>
      </c>
      <c r="H196" s="30">
        <v>90</v>
      </c>
      <c r="I196" s="188" t="s">
        <v>436</v>
      </c>
      <c r="J196" s="30" t="s">
        <v>472</v>
      </c>
      <c r="K196" s="188" t="s">
        <v>436</v>
      </c>
      <c r="L196" s="30" t="s">
        <v>535</v>
      </c>
      <c r="M196" s="30">
        <v>88</v>
      </c>
      <c r="N196" s="30">
        <v>2</v>
      </c>
      <c r="Z196" s="82" t="str">
        <f>IF(SUM(M196,N196)=C196,"DONE"," ")</f>
        <v>DONE</v>
      </c>
      <c r="AA196" s="92">
        <v>45896</v>
      </c>
      <c r="AB196" s="92">
        <v>45950</v>
      </c>
      <c r="AC196" t="s">
        <v>537</v>
      </c>
      <c r="AE196" s="101"/>
    </row>
    <row r="197" spans="1:31">
      <c r="A197" s="26">
        <v>203</v>
      </c>
      <c r="B197" s="232">
        <v>45896</v>
      </c>
      <c r="C197" s="28">
        <v>90</v>
      </c>
      <c r="D197" s="286"/>
      <c r="E197" s="27"/>
      <c r="F197" s="28" t="s">
        <v>536</v>
      </c>
      <c r="G197" s="188" t="s">
        <v>436</v>
      </c>
      <c r="H197" s="30">
        <v>90</v>
      </c>
      <c r="I197" s="188" t="s">
        <v>436</v>
      </c>
      <c r="J197" s="30" t="s">
        <v>538</v>
      </c>
      <c r="K197" s="188" t="s">
        <v>436</v>
      </c>
      <c r="L197" s="30" t="s">
        <v>535</v>
      </c>
      <c r="M197" s="30">
        <v>85</v>
      </c>
      <c r="N197" s="75" t="str">
        <f>IF(M197=C197,"-","")</f>
        <v/>
      </c>
      <c r="Z197" s="82" t="str">
        <f>IF(SUM(M197,N197)=C197,"DONE"," ")</f>
        <v xml:space="preserve"> </v>
      </c>
      <c r="AA197" s="93">
        <v>45898</v>
      </c>
      <c r="AB197" s="105"/>
      <c r="AC197" t="s">
        <v>512</v>
      </c>
      <c r="AE197" s="101"/>
    </row>
    <row r="198" spans="1:31">
      <c r="A198" s="26">
        <v>204</v>
      </c>
      <c r="B198" s="232">
        <v>45896</v>
      </c>
      <c r="C198" s="28">
        <v>90</v>
      </c>
      <c r="D198" s="286"/>
      <c r="E198" s="27"/>
      <c r="F198" s="28" t="s">
        <v>473</v>
      </c>
      <c r="G198" s="188" t="s">
        <v>436</v>
      </c>
      <c r="H198" s="30">
        <v>90</v>
      </c>
      <c r="I198" s="188" t="s">
        <v>436</v>
      </c>
      <c r="J198" s="30" t="s">
        <v>473</v>
      </c>
      <c r="K198" s="188" t="s">
        <v>436</v>
      </c>
      <c r="L198" s="30" t="s">
        <v>535</v>
      </c>
      <c r="M198" s="30">
        <v>85</v>
      </c>
      <c r="N198" s="75" t="str">
        <f>IF(M198=C198,"-","")</f>
        <v/>
      </c>
      <c r="Z198" s="82" t="str">
        <f>IF(SUM(M198,N198)=C198,"DONE"," ")</f>
        <v xml:space="preserve"> </v>
      </c>
      <c r="AA198" s="93">
        <v>45898</v>
      </c>
      <c r="AB198" s="105"/>
      <c r="AC198" t="s">
        <v>512</v>
      </c>
      <c r="AE198" s="101"/>
    </row>
    <row r="199" spans="1:31">
      <c r="A199" s="26">
        <v>215</v>
      </c>
      <c r="B199" s="232">
        <v>45896</v>
      </c>
      <c r="C199" s="28">
        <v>90</v>
      </c>
      <c r="D199" s="286"/>
      <c r="E199" s="27"/>
      <c r="F199" s="28" t="s">
        <v>472</v>
      </c>
      <c r="G199" s="188" t="s">
        <v>436</v>
      </c>
      <c r="H199" s="30">
        <v>90</v>
      </c>
      <c r="I199" s="188" t="s">
        <v>436</v>
      </c>
      <c r="J199" s="30" t="s">
        <v>472</v>
      </c>
      <c r="K199" s="188" t="s">
        <v>436</v>
      </c>
      <c r="L199" s="30" t="s">
        <v>535</v>
      </c>
      <c r="M199" s="30">
        <v>85</v>
      </c>
      <c r="N199" s="75" t="str">
        <f>IF(M199=C199,"-","")</f>
        <v/>
      </c>
      <c r="Z199" s="82" t="str">
        <f>IF(SUM(M199,N199)=C199,"DONE"," ")</f>
        <v xml:space="preserve"> </v>
      </c>
      <c r="AA199" s="93">
        <v>45897</v>
      </c>
      <c r="AB199" s="105"/>
      <c r="AC199" t="s">
        <v>539</v>
      </c>
      <c r="AE199" s="101"/>
    </row>
    <row r="200" spans="1:31">
      <c r="A200" s="26">
        <v>218</v>
      </c>
      <c r="B200" s="232">
        <v>45897</v>
      </c>
      <c r="C200" s="28">
        <v>90</v>
      </c>
      <c r="D200" s="286"/>
      <c r="E200" s="27"/>
      <c r="F200" s="28" t="s">
        <v>469</v>
      </c>
      <c r="G200" s="188" t="s">
        <v>436</v>
      </c>
      <c r="H200" s="30">
        <v>90</v>
      </c>
      <c r="I200" s="188" t="s">
        <v>436</v>
      </c>
      <c r="J200" s="30" t="s">
        <v>469</v>
      </c>
      <c r="K200" s="188" t="s">
        <v>436</v>
      </c>
      <c r="L200" s="30" t="s">
        <v>535</v>
      </c>
      <c r="M200" s="30">
        <v>82</v>
      </c>
      <c r="N200" s="75" t="str">
        <f>IF(M200=C200,"-","")</f>
        <v/>
      </c>
      <c r="Z200" s="82" t="str">
        <f>IF(SUM(M200,N200)=C200,"DONE"," ")</f>
        <v xml:space="preserve"> </v>
      </c>
      <c r="AA200" s="93">
        <v>45903</v>
      </c>
      <c r="AB200" s="105"/>
      <c r="AC200" t="s">
        <v>512</v>
      </c>
      <c r="AE200" s="101"/>
    </row>
    <row r="201" spans="1:31">
      <c r="A201" s="26">
        <v>216</v>
      </c>
      <c r="B201" s="233">
        <v>45898</v>
      </c>
      <c r="C201" s="28">
        <v>90</v>
      </c>
      <c r="D201" s="286"/>
      <c r="E201" s="27"/>
      <c r="F201" s="28" t="s">
        <v>540</v>
      </c>
      <c r="G201" s="188" t="s">
        <v>436</v>
      </c>
      <c r="H201" s="30">
        <v>90</v>
      </c>
      <c r="I201" s="188" t="s">
        <v>436</v>
      </c>
      <c r="J201" s="30" t="s">
        <v>541</v>
      </c>
      <c r="K201" s="188" t="s">
        <v>436</v>
      </c>
      <c r="L201" s="30" t="s">
        <v>535</v>
      </c>
      <c r="M201" s="30">
        <v>84</v>
      </c>
      <c r="N201" s="30">
        <v>6</v>
      </c>
      <c r="Z201" s="82" t="str">
        <f>IF(SUM(M201,N201)=C201,"DONE"," ")</f>
        <v>DONE</v>
      </c>
      <c r="AA201" s="92">
        <v>45905</v>
      </c>
      <c r="AB201" s="92">
        <v>45950</v>
      </c>
      <c r="AC201" t="s">
        <v>512</v>
      </c>
      <c r="AE201" s="101"/>
    </row>
    <row r="202" spans="1:31">
      <c r="A202" s="26">
        <v>217</v>
      </c>
      <c r="B202" s="232">
        <v>45898</v>
      </c>
      <c r="C202" s="28">
        <v>90</v>
      </c>
      <c r="D202" s="286"/>
      <c r="E202" s="27"/>
      <c r="F202" s="28" t="s">
        <v>542</v>
      </c>
      <c r="G202" s="188" t="s">
        <v>436</v>
      </c>
      <c r="H202" s="30">
        <v>90</v>
      </c>
      <c r="I202" s="188" t="s">
        <v>436</v>
      </c>
      <c r="J202" s="30" t="s">
        <v>541</v>
      </c>
      <c r="K202" s="188" t="s">
        <v>436</v>
      </c>
      <c r="L202" s="30" t="s">
        <v>535</v>
      </c>
      <c r="M202" s="30">
        <v>89</v>
      </c>
      <c r="N202" s="75">
        <v>1</v>
      </c>
      <c r="Z202" s="82" t="str">
        <f>IF(SUM(M202,N202)=C202,"DONE"," ")</f>
        <v>DONE</v>
      </c>
      <c r="AA202" s="93">
        <v>45905</v>
      </c>
      <c r="AB202" s="108">
        <v>46037</v>
      </c>
      <c r="AC202" t="s">
        <v>512</v>
      </c>
      <c r="AE202" s="101"/>
    </row>
    <row r="203" spans="1:31">
      <c r="A203" s="26">
        <v>219</v>
      </c>
      <c r="B203" s="232">
        <v>45903</v>
      </c>
      <c r="C203" s="28">
        <v>90</v>
      </c>
      <c r="D203" s="286"/>
      <c r="E203" s="27"/>
      <c r="F203" s="28" t="s">
        <v>478</v>
      </c>
      <c r="G203" s="188" t="s">
        <v>436</v>
      </c>
      <c r="H203" s="30">
        <v>90</v>
      </c>
      <c r="I203" s="188" t="s">
        <v>436</v>
      </c>
      <c r="J203" s="30" t="s">
        <v>494</v>
      </c>
      <c r="K203" s="188" t="s">
        <v>436</v>
      </c>
      <c r="L203" s="30" t="s">
        <v>535</v>
      </c>
      <c r="M203" s="30">
        <v>87</v>
      </c>
      <c r="N203" s="75" t="str">
        <f>IF(M203=C203,"-","")</f>
        <v/>
      </c>
      <c r="Z203" s="82" t="str">
        <f>IF(SUM(M203,N203)=C203,"DONE"," ")</f>
        <v xml:space="preserve"> </v>
      </c>
      <c r="AA203" s="93">
        <v>45903</v>
      </c>
      <c r="AB203" s="105"/>
      <c r="AC203" t="s">
        <v>512</v>
      </c>
      <c r="AE203" s="101"/>
    </row>
    <row r="204" spans="1:31">
      <c r="A204" s="26">
        <v>220</v>
      </c>
      <c r="B204" s="232">
        <v>45903</v>
      </c>
      <c r="C204" s="28">
        <v>90</v>
      </c>
      <c r="D204" s="286"/>
      <c r="E204" s="27"/>
      <c r="F204" s="28" t="s">
        <v>543</v>
      </c>
      <c r="G204" s="188" t="s">
        <v>436</v>
      </c>
      <c r="H204" s="30">
        <v>90</v>
      </c>
      <c r="I204" s="188" t="s">
        <v>436</v>
      </c>
      <c r="J204" s="30" t="s">
        <v>538</v>
      </c>
      <c r="K204" s="188" t="s">
        <v>436</v>
      </c>
      <c r="L204" s="30" t="s">
        <v>535</v>
      </c>
      <c r="M204" s="30">
        <v>83</v>
      </c>
      <c r="N204" s="75" t="str">
        <f>IF(M204=C204,"-","")</f>
        <v/>
      </c>
      <c r="Z204" s="82" t="str">
        <f>IF(SUM(M204,N204)=C204,"DONE"," ")</f>
        <v xml:space="preserve"> </v>
      </c>
      <c r="AA204" s="93">
        <v>45905</v>
      </c>
      <c r="AB204" s="105"/>
      <c r="AC204" t="s">
        <v>512</v>
      </c>
      <c r="AE204" s="101"/>
    </row>
    <row r="205" spans="1:31">
      <c r="A205" s="26">
        <v>205</v>
      </c>
      <c r="B205" s="233">
        <v>45903</v>
      </c>
      <c r="C205" s="28">
        <v>90</v>
      </c>
      <c r="D205" s="286"/>
      <c r="E205" s="27"/>
      <c r="F205" s="28" t="s">
        <v>544</v>
      </c>
      <c r="G205" s="188" t="s">
        <v>436</v>
      </c>
      <c r="H205" s="30">
        <v>90</v>
      </c>
      <c r="I205" s="188" t="s">
        <v>436</v>
      </c>
      <c r="J205" s="30" t="s">
        <v>494</v>
      </c>
      <c r="K205" s="188" t="s">
        <v>436</v>
      </c>
      <c r="L205" s="30" t="s">
        <v>535</v>
      </c>
      <c r="M205" s="30">
        <v>89</v>
      </c>
      <c r="N205" s="30">
        <v>1</v>
      </c>
      <c r="Z205" s="82" t="str">
        <f>IF(SUM(M205,N205)=C205,"DONE"," ")</f>
        <v>DONE</v>
      </c>
      <c r="AA205" s="92">
        <v>45905</v>
      </c>
      <c r="AB205" s="92">
        <v>45950</v>
      </c>
      <c r="AC205" t="s">
        <v>512</v>
      </c>
      <c r="AE205" s="101"/>
    </row>
    <row r="206" spans="1:31">
      <c r="A206" s="26">
        <v>221</v>
      </c>
      <c r="B206" s="232">
        <v>45904</v>
      </c>
      <c r="C206" s="28">
        <v>90</v>
      </c>
      <c r="D206" s="286"/>
      <c r="E206" s="27"/>
      <c r="F206" s="28" t="s">
        <v>544</v>
      </c>
      <c r="G206" s="188" t="s">
        <v>436</v>
      </c>
      <c r="H206" s="30">
        <v>90</v>
      </c>
      <c r="I206" s="188" t="s">
        <v>436</v>
      </c>
      <c r="J206" s="30" t="s">
        <v>494</v>
      </c>
      <c r="K206" s="188" t="s">
        <v>436</v>
      </c>
      <c r="L206" s="30" t="s">
        <v>535</v>
      </c>
      <c r="M206" s="30">
        <v>83</v>
      </c>
      <c r="N206" s="75" t="str">
        <f>IF(M206=C206,"-","")</f>
        <v/>
      </c>
      <c r="Z206" s="82" t="str">
        <f>IF(SUM(M206,N206)=C206,"DONE"," ")</f>
        <v xml:space="preserve"> </v>
      </c>
      <c r="AA206" s="93">
        <v>45910</v>
      </c>
      <c r="AB206" s="105"/>
      <c r="AC206" t="s">
        <v>512</v>
      </c>
      <c r="AE206" s="101"/>
    </row>
    <row r="207" spans="1:31">
      <c r="A207" s="26">
        <v>222</v>
      </c>
      <c r="B207" s="233">
        <v>45905</v>
      </c>
      <c r="C207" s="28">
        <v>90</v>
      </c>
      <c r="D207" s="286"/>
      <c r="E207" s="27"/>
      <c r="F207" s="28" t="s">
        <v>536</v>
      </c>
      <c r="G207" s="188" t="s">
        <v>436</v>
      </c>
      <c r="H207" s="30">
        <v>90</v>
      </c>
      <c r="I207" s="188" t="s">
        <v>436</v>
      </c>
      <c r="J207" s="30" t="s">
        <v>470</v>
      </c>
      <c r="K207" s="188" t="s">
        <v>436</v>
      </c>
      <c r="L207" s="30" t="s">
        <v>545</v>
      </c>
      <c r="M207" s="30">
        <v>89</v>
      </c>
      <c r="N207" s="75">
        <v>1</v>
      </c>
      <c r="Z207" s="82" t="str">
        <f>IF(SUM(M207,N207)=C207,"DONE"," ")</f>
        <v>DONE</v>
      </c>
      <c r="AA207" s="92">
        <v>45911</v>
      </c>
      <c r="AB207" s="92">
        <v>45950</v>
      </c>
      <c r="AC207" t="s">
        <v>512</v>
      </c>
      <c r="AE207" s="101"/>
    </row>
    <row r="208" spans="1:31">
      <c r="A208" s="26">
        <v>223</v>
      </c>
      <c r="B208" s="233">
        <v>45905</v>
      </c>
      <c r="C208" s="28">
        <v>90</v>
      </c>
      <c r="D208" s="286"/>
      <c r="E208" s="27"/>
      <c r="F208" s="28" t="s">
        <v>472</v>
      </c>
      <c r="G208" s="188" t="s">
        <v>436</v>
      </c>
      <c r="H208" s="30">
        <v>90</v>
      </c>
      <c r="I208" s="188" t="s">
        <v>436</v>
      </c>
      <c r="J208" s="30" t="s">
        <v>472</v>
      </c>
      <c r="K208" s="188" t="s">
        <v>436</v>
      </c>
      <c r="L208" s="30" t="s">
        <v>545</v>
      </c>
      <c r="M208" s="30">
        <v>80</v>
      </c>
      <c r="N208" s="75">
        <v>10</v>
      </c>
      <c r="Z208" s="82" t="str">
        <f>IF(SUM(M208,N208)=C208,"DONE"," ")</f>
        <v>DONE</v>
      </c>
      <c r="AA208" s="92">
        <v>45911</v>
      </c>
      <c r="AB208" s="92">
        <v>45950</v>
      </c>
      <c r="AC208" t="s">
        <v>512</v>
      </c>
      <c r="AE208" s="101"/>
    </row>
    <row r="209" spans="1:31">
      <c r="A209" s="26">
        <v>193</v>
      </c>
      <c r="B209" s="233">
        <v>45905</v>
      </c>
      <c r="C209" s="28">
        <v>90</v>
      </c>
      <c r="D209" s="286"/>
      <c r="E209" s="27"/>
      <c r="F209" s="28" t="s">
        <v>478</v>
      </c>
      <c r="G209" s="188" t="s">
        <v>436</v>
      </c>
      <c r="H209" s="30">
        <v>90</v>
      </c>
      <c r="I209" s="188" t="s">
        <v>436</v>
      </c>
      <c r="J209" s="30" t="s">
        <v>472</v>
      </c>
      <c r="K209" s="188" t="s">
        <v>436</v>
      </c>
      <c r="L209" s="30" t="s">
        <v>545</v>
      </c>
      <c r="M209" s="30">
        <v>86</v>
      </c>
      <c r="N209" s="75">
        <v>4</v>
      </c>
      <c r="Z209" s="82" t="str">
        <f>IF(SUM(M209,N209)=C209,"DONE"," ")</f>
        <v>DONE</v>
      </c>
      <c r="AA209" s="92">
        <v>45911</v>
      </c>
      <c r="AB209" s="92">
        <v>45950</v>
      </c>
      <c r="AC209" t="s">
        <v>512</v>
      </c>
      <c r="AE209" s="101"/>
    </row>
    <row r="210" spans="1:31">
      <c r="A210" s="26">
        <v>228</v>
      </c>
      <c r="B210" s="232">
        <v>45910</v>
      </c>
      <c r="C210" s="28">
        <v>90</v>
      </c>
      <c r="D210" s="286"/>
      <c r="E210" s="27"/>
      <c r="F210" s="28" t="s">
        <v>540</v>
      </c>
      <c r="G210" s="188" t="s">
        <v>436</v>
      </c>
      <c r="H210" s="30">
        <v>90</v>
      </c>
      <c r="I210" s="188" t="s">
        <v>436</v>
      </c>
      <c r="J210" s="30" t="s">
        <v>470</v>
      </c>
      <c r="K210" s="188" t="s">
        <v>436</v>
      </c>
      <c r="L210" s="30" t="s">
        <v>546</v>
      </c>
      <c r="M210" s="30">
        <v>88</v>
      </c>
      <c r="N210" s="75" t="str">
        <f>IF(M210=C210,"-","")</f>
        <v/>
      </c>
      <c r="Z210" s="82" t="str">
        <f>IF(SUM(M210,N210)=C210,"DONE"," ")</f>
        <v xml:space="preserve"> </v>
      </c>
      <c r="AA210" s="93">
        <v>45912</v>
      </c>
      <c r="AB210" s="1"/>
      <c r="AC210" t="s">
        <v>547</v>
      </c>
      <c r="AE210" s="101"/>
    </row>
    <row r="211" spans="1:31">
      <c r="A211" s="26">
        <v>224</v>
      </c>
      <c r="B211" s="232">
        <v>45918</v>
      </c>
      <c r="C211" s="28">
        <v>90</v>
      </c>
      <c r="D211" s="286"/>
      <c r="E211" s="27"/>
      <c r="F211" s="28" t="s">
        <v>470</v>
      </c>
      <c r="G211" s="188" t="s">
        <v>436</v>
      </c>
      <c r="H211" s="30">
        <v>90</v>
      </c>
      <c r="I211" s="188" t="s">
        <v>436</v>
      </c>
      <c r="J211" s="30" t="s">
        <v>470</v>
      </c>
      <c r="K211" s="188" t="s">
        <v>436</v>
      </c>
      <c r="L211" s="30" t="s">
        <v>546</v>
      </c>
      <c r="M211" s="30">
        <v>89</v>
      </c>
      <c r="N211" s="75">
        <v>1</v>
      </c>
      <c r="Z211" s="82" t="str">
        <f>IF(SUM(M211,N211)=C211,"DONE"," ")</f>
        <v>DONE</v>
      </c>
      <c r="AA211" s="93">
        <v>45919</v>
      </c>
      <c r="AB211" s="108">
        <v>46050</v>
      </c>
      <c r="AC211" t="s">
        <v>512</v>
      </c>
      <c r="AE211" s="101"/>
    </row>
    <row r="212" spans="1:31">
      <c r="A212" s="26">
        <v>226</v>
      </c>
      <c r="B212" s="232">
        <v>45918</v>
      </c>
      <c r="C212" s="28">
        <v>90</v>
      </c>
      <c r="D212" s="286"/>
      <c r="E212" s="27"/>
      <c r="F212" s="28" t="s">
        <v>467</v>
      </c>
      <c r="G212" s="188" t="s">
        <v>436</v>
      </c>
      <c r="H212" s="30">
        <v>90</v>
      </c>
      <c r="I212" s="188" t="s">
        <v>436</v>
      </c>
      <c r="J212" s="30" t="s">
        <v>541</v>
      </c>
      <c r="K212" s="188" t="s">
        <v>436</v>
      </c>
      <c r="L212" s="30" t="s">
        <v>535</v>
      </c>
      <c r="M212" s="30">
        <v>89</v>
      </c>
      <c r="N212" s="75">
        <v>1</v>
      </c>
      <c r="Z212" s="82" t="str">
        <f>IF(SUM(M212,N212)=C212,"DONE"," ")</f>
        <v>DONE</v>
      </c>
      <c r="AA212" s="93">
        <v>45919</v>
      </c>
      <c r="AB212" s="108">
        <v>46050</v>
      </c>
      <c r="AC212" t="s">
        <v>512</v>
      </c>
      <c r="AE212" s="101"/>
    </row>
    <row r="213" spans="1:31">
      <c r="A213" s="26">
        <v>225</v>
      </c>
      <c r="B213" s="232">
        <v>45918</v>
      </c>
      <c r="C213" s="28">
        <v>90</v>
      </c>
      <c r="D213" s="286"/>
      <c r="E213" s="27"/>
      <c r="F213" s="28" t="s">
        <v>540</v>
      </c>
      <c r="G213" s="188" t="s">
        <v>436</v>
      </c>
      <c r="H213" s="30">
        <v>90</v>
      </c>
      <c r="I213" s="188" t="s">
        <v>436</v>
      </c>
      <c r="J213" s="30" t="s">
        <v>469</v>
      </c>
      <c r="K213" s="188" t="s">
        <v>436</v>
      </c>
      <c r="L213" s="30" t="s">
        <v>545</v>
      </c>
      <c r="M213" s="30">
        <v>82</v>
      </c>
      <c r="N213" s="75">
        <v>8</v>
      </c>
      <c r="Z213" s="82" t="str">
        <f>IF(SUM(M213,N213)=C213,"DONE"," ")</f>
        <v>DONE</v>
      </c>
      <c r="AA213" s="93">
        <v>45922</v>
      </c>
      <c r="AB213" s="108">
        <v>46050</v>
      </c>
      <c r="AC213" t="s">
        <v>512</v>
      </c>
      <c r="AE213" s="101"/>
    </row>
    <row r="214" spans="1:31">
      <c r="A214" s="26">
        <v>230</v>
      </c>
      <c r="B214" s="232">
        <v>45918</v>
      </c>
      <c r="C214" s="28">
        <v>90</v>
      </c>
      <c r="D214" s="286"/>
      <c r="E214" s="27"/>
      <c r="F214" s="28" t="s">
        <v>472</v>
      </c>
      <c r="G214" s="188" t="s">
        <v>436</v>
      </c>
      <c r="H214" s="30">
        <v>90</v>
      </c>
      <c r="I214" s="188" t="s">
        <v>436</v>
      </c>
      <c r="J214" s="30" t="s">
        <v>472</v>
      </c>
      <c r="K214" s="188" t="s">
        <v>436</v>
      </c>
      <c r="L214" s="30" t="s">
        <v>535</v>
      </c>
      <c r="M214" s="30">
        <v>84</v>
      </c>
      <c r="N214" s="75">
        <v>6</v>
      </c>
      <c r="Z214" s="82" t="str">
        <f>IF(SUM(M214,N214)=C214,"DONE"," ")</f>
        <v>DONE</v>
      </c>
      <c r="AA214" s="93">
        <v>45919</v>
      </c>
      <c r="AB214" s="108">
        <v>46050</v>
      </c>
      <c r="AC214" t="s">
        <v>512</v>
      </c>
      <c r="AE214" s="101"/>
    </row>
    <row r="215" spans="1:31">
      <c r="A215" s="26">
        <v>231</v>
      </c>
      <c r="B215" s="232">
        <v>45918</v>
      </c>
      <c r="C215" s="28">
        <v>90</v>
      </c>
      <c r="D215" s="286"/>
      <c r="E215" s="27"/>
      <c r="F215" s="28" t="s">
        <v>470</v>
      </c>
      <c r="G215" s="188" t="s">
        <v>436</v>
      </c>
      <c r="H215" s="30">
        <v>90</v>
      </c>
      <c r="I215" s="188" t="s">
        <v>436</v>
      </c>
      <c r="J215" s="30" t="s">
        <v>470</v>
      </c>
      <c r="K215" s="188" t="s">
        <v>436</v>
      </c>
      <c r="L215" s="30" t="s">
        <v>545</v>
      </c>
      <c r="M215" s="30">
        <v>88</v>
      </c>
      <c r="N215" s="75">
        <v>2</v>
      </c>
      <c r="Z215" s="82" t="str">
        <f>IF(SUM(M215,N215)=C215,"DONE"," ")</f>
        <v>DONE</v>
      </c>
      <c r="AA215" s="93">
        <v>45922</v>
      </c>
      <c r="AB215" s="175">
        <v>46050</v>
      </c>
      <c r="AC215" t="s">
        <v>512</v>
      </c>
      <c r="AE215" s="101"/>
    </row>
    <row r="216" spans="1:31">
      <c r="A216" s="26">
        <v>232</v>
      </c>
      <c r="B216" s="232">
        <v>45919</v>
      </c>
      <c r="C216" s="28">
        <v>90</v>
      </c>
      <c r="D216" s="286"/>
      <c r="E216" s="27"/>
      <c r="F216" s="28" t="s">
        <v>473</v>
      </c>
      <c r="G216" s="188" t="s">
        <v>436</v>
      </c>
      <c r="H216" s="30">
        <v>90</v>
      </c>
      <c r="I216" s="188" t="s">
        <v>436</v>
      </c>
      <c r="J216" s="30" t="s">
        <v>541</v>
      </c>
      <c r="K216" s="188" t="s">
        <v>436</v>
      </c>
      <c r="L216" s="30" t="s">
        <v>535</v>
      </c>
      <c r="M216" s="30">
        <v>84</v>
      </c>
      <c r="N216" s="75">
        <v>6</v>
      </c>
      <c r="Z216" s="82" t="str">
        <f>IF(SUM(M216,N216)=C216,"DONE"," ")</f>
        <v>DONE</v>
      </c>
      <c r="AA216" s="93">
        <v>45924</v>
      </c>
      <c r="AB216" s="175">
        <v>46050</v>
      </c>
      <c r="AC216" t="s">
        <v>512</v>
      </c>
      <c r="AE216" s="101"/>
    </row>
    <row r="217" spans="1:31">
      <c r="A217" s="26">
        <v>233</v>
      </c>
      <c r="B217" s="232">
        <v>45919</v>
      </c>
      <c r="C217" s="28">
        <v>90</v>
      </c>
      <c r="D217" s="286"/>
      <c r="E217" s="27"/>
      <c r="F217" s="28" t="s">
        <v>478</v>
      </c>
      <c r="G217" s="188" t="s">
        <v>436</v>
      </c>
      <c r="H217" s="30">
        <v>90</v>
      </c>
      <c r="I217" s="188" t="s">
        <v>436</v>
      </c>
      <c r="J217" s="30" t="s">
        <v>472</v>
      </c>
      <c r="K217" s="188" t="s">
        <v>436</v>
      </c>
      <c r="L217" s="30" t="s">
        <v>535</v>
      </c>
      <c r="M217" s="30">
        <v>87</v>
      </c>
      <c r="N217" s="75" t="str">
        <f>IF(M217=C217,"-","")</f>
        <v/>
      </c>
      <c r="Z217" s="82" t="str">
        <f>IF(SUM(M217,N217)=C217,"DONE"," ")</f>
        <v xml:space="preserve"> </v>
      </c>
      <c r="AA217" s="93">
        <v>45922</v>
      </c>
      <c r="AB217" s="1"/>
      <c r="AC217" t="s">
        <v>512</v>
      </c>
      <c r="AE217" s="101"/>
    </row>
    <row r="218" spans="1:31">
      <c r="A218" s="26">
        <v>235</v>
      </c>
      <c r="B218" s="232">
        <v>45924</v>
      </c>
      <c r="C218" s="28">
        <v>90</v>
      </c>
      <c r="D218" s="286"/>
      <c r="E218" s="27"/>
      <c r="F218" s="28" t="s">
        <v>540</v>
      </c>
      <c r="G218" s="188" t="s">
        <v>436</v>
      </c>
      <c r="H218" s="30">
        <v>90</v>
      </c>
      <c r="I218" s="188" t="s">
        <v>436</v>
      </c>
      <c r="J218" s="30" t="s">
        <v>472</v>
      </c>
      <c r="K218" s="188" t="s">
        <v>436</v>
      </c>
      <c r="L218" s="30" t="s">
        <v>535</v>
      </c>
      <c r="M218" s="30">
        <v>81</v>
      </c>
      <c r="N218" s="75">
        <v>9</v>
      </c>
      <c r="Z218" s="82" t="str">
        <f>IF(SUM(M218,N218)=C218,"DONE"," ")</f>
        <v>DONE</v>
      </c>
      <c r="AA218" s="93">
        <v>45929</v>
      </c>
      <c r="AB218" s="108">
        <v>46050</v>
      </c>
      <c r="AC218" t="s">
        <v>548</v>
      </c>
      <c r="AE218" s="101"/>
    </row>
    <row r="219" spans="1:31">
      <c r="A219" s="26">
        <v>236</v>
      </c>
      <c r="B219" s="232">
        <v>45925</v>
      </c>
      <c r="C219" s="28">
        <v>90</v>
      </c>
      <c r="D219" s="286"/>
      <c r="E219" s="27"/>
      <c r="F219" s="28" t="s">
        <v>470</v>
      </c>
      <c r="G219" s="188" t="s">
        <v>436</v>
      </c>
      <c r="H219" s="30">
        <v>90</v>
      </c>
      <c r="I219" s="188" t="s">
        <v>436</v>
      </c>
      <c r="J219" s="30" t="s">
        <v>472</v>
      </c>
      <c r="K219" s="188" t="s">
        <v>436</v>
      </c>
      <c r="L219" s="30" t="s">
        <v>535</v>
      </c>
      <c r="M219" s="30">
        <v>83</v>
      </c>
      <c r="N219" s="75">
        <v>7</v>
      </c>
      <c r="Z219" s="82" t="str">
        <f>IF(SUM(M219,N219)=C219,"DONE"," ")</f>
        <v>DONE</v>
      </c>
      <c r="AA219" s="93">
        <v>45926</v>
      </c>
      <c r="AB219" s="108">
        <v>46050</v>
      </c>
      <c r="AC219" t="s">
        <v>549</v>
      </c>
      <c r="AE219" s="101"/>
    </row>
    <row r="220" spans="1:31">
      <c r="A220" s="26">
        <v>237</v>
      </c>
      <c r="B220" s="232">
        <v>45925</v>
      </c>
      <c r="C220" s="28">
        <v>90</v>
      </c>
      <c r="D220" s="286"/>
      <c r="E220" s="27"/>
      <c r="F220" s="28" t="s">
        <v>470</v>
      </c>
      <c r="G220" s="188" t="s">
        <v>436</v>
      </c>
      <c r="H220" s="30">
        <v>90</v>
      </c>
      <c r="I220" s="188" t="s">
        <v>436</v>
      </c>
      <c r="J220" s="30" t="s">
        <v>478</v>
      </c>
      <c r="K220" s="188" t="s">
        <v>436</v>
      </c>
      <c r="L220" s="30" t="s">
        <v>535</v>
      </c>
      <c r="M220" s="30">
        <v>89</v>
      </c>
      <c r="N220" s="75">
        <v>1</v>
      </c>
      <c r="Z220" s="82" t="str">
        <f>IF(SUM(M220,N220)=C220,"DONE"," ")</f>
        <v>DONE</v>
      </c>
      <c r="AA220" s="93">
        <v>45929</v>
      </c>
      <c r="AB220" s="108">
        <v>46050</v>
      </c>
      <c r="AC220" t="s">
        <v>550</v>
      </c>
      <c r="AE220" s="101"/>
    </row>
    <row r="221" spans="1:31">
      <c r="A221" s="26">
        <v>238</v>
      </c>
      <c r="B221" s="232">
        <v>45925</v>
      </c>
      <c r="C221" s="28">
        <v>90</v>
      </c>
      <c r="D221" s="286"/>
      <c r="E221" s="27"/>
      <c r="F221" s="28" t="s">
        <v>473</v>
      </c>
      <c r="G221" s="188" t="s">
        <v>436</v>
      </c>
      <c r="H221" s="30">
        <v>90</v>
      </c>
      <c r="I221" s="188" t="s">
        <v>436</v>
      </c>
      <c r="J221" s="30" t="s">
        <v>472</v>
      </c>
      <c r="K221" s="188" t="s">
        <v>436</v>
      </c>
      <c r="L221" s="30" t="s">
        <v>535</v>
      </c>
      <c r="M221" s="30">
        <v>86</v>
      </c>
      <c r="N221" s="75">
        <v>4</v>
      </c>
      <c r="Z221" s="82" t="str">
        <f>IF(SUM(M221,N221)=C221,"DONE"," ")</f>
        <v>DONE</v>
      </c>
      <c r="AA221" s="93">
        <v>45929</v>
      </c>
      <c r="AB221" s="175">
        <v>46050</v>
      </c>
      <c r="AC221" t="s">
        <v>551</v>
      </c>
      <c r="AE221" s="101"/>
    </row>
    <row r="222" spans="1:31">
      <c r="A222" s="26">
        <v>234</v>
      </c>
      <c r="B222" s="232">
        <v>45927</v>
      </c>
      <c r="C222" s="28">
        <v>90</v>
      </c>
      <c r="D222" s="286"/>
      <c r="E222" s="27"/>
      <c r="F222" s="28" t="s">
        <v>470</v>
      </c>
      <c r="G222" s="188" t="s">
        <v>436</v>
      </c>
      <c r="H222" s="30">
        <v>90</v>
      </c>
      <c r="I222" s="188" t="s">
        <v>436</v>
      </c>
      <c r="J222" s="30" t="s">
        <v>472</v>
      </c>
      <c r="K222" s="188" t="s">
        <v>436</v>
      </c>
      <c r="L222" s="30" t="s">
        <v>535</v>
      </c>
      <c r="M222" s="30">
        <v>86</v>
      </c>
      <c r="N222" s="75">
        <v>4</v>
      </c>
      <c r="Z222" s="82" t="str">
        <f>IF(SUM(M222,N222)=C222,"DONE"," ")</f>
        <v>DONE</v>
      </c>
      <c r="AA222" s="93">
        <v>45930</v>
      </c>
      <c r="AB222" s="108">
        <v>46050</v>
      </c>
      <c r="AC222" t="s">
        <v>512</v>
      </c>
      <c r="AE222" s="101"/>
    </row>
    <row r="223" spans="1:31">
      <c r="A223" s="26">
        <v>244</v>
      </c>
      <c r="B223" s="232">
        <v>45927</v>
      </c>
      <c r="C223" s="28">
        <v>90</v>
      </c>
      <c r="D223" s="286"/>
      <c r="E223" s="27"/>
      <c r="F223" s="28" t="s">
        <v>540</v>
      </c>
      <c r="G223" s="188" t="s">
        <v>436</v>
      </c>
      <c r="H223" s="30">
        <v>90</v>
      </c>
      <c r="I223" s="188" t="s">
        <v>436</v>
      </c>
      <c r="J223" s="30" t="s">
        <v>472</v>
      </c>
      <c r="K223" s="188" t="s">
        <v>436</v>
      </c>
      <c r="L223" s="30" t="s">
        <v>535</v>
      </c>
      <c r="M223" s="30">
        <v>88</v>
      </c>
      <c r="N223" s="75">
        <v>2</v>
      </c>
      <c r="Z223" s="82" t="str">
        <f>IF(SUM(M223,N223)=C223,"DONE"," ")</f>
        <v>DONE</v>
      </c>
      <c r="AA223" s="93">
        <v>45932</v>
      </c>
      <c r="AB223" s="108">
        <v>46050</v>
      </c>
      <c r="AC223" t="s">
        <v>552</v>
      </c>
      <c r="AE223" s="101"/>
    </row>
    <row r="224" spans="1:31">
      <c r="A224" s="26">
        <v>239</v>
      </c>
      <c r="B224" s="232">
        <v>45929</v>
      </c>
      <c r="C224" s="28">
        <v>90</v>
      </c>
      <c r="D224" s="286"/>
      <c r="E224" s="27"/>
      <c r="F224" s="28" t="s">
        <v>473</v>
      </c>
      <c r="G224" s="188" t="s">
        <v>436</v>
      </c>
      <c r="H224" s="30">
        <v>90</v>
      </c>
      <c r="I224" s="188" t="s">
        <v>436</v>
      </c>
      <c r="J224" s="30" t="s">
        <v>467</v>
      </c>
      <c r="K224" s="188" t="s">
        <v>436</v>
      </c>
      <c r="L224" s="30" t="s">
        <v>535</v>
      </c>
      <c r="M224" s="30">
        <v>86</v>
      </c>
      <c r="N224" s="75">
        <v>4</v>
      </c>
      <c r="Z224" s="82" t="str">
        <f>IF(SUM(M224,N224)=C224,"DONE"," ")</f>
        <v>DONE</v>
      </c>
      <c r="AA224" s="93">
        <v>45932</v>
      </c>
      <c r="AB224" s="108">
        <v>46050</v>
      </c>
      <c r="AC224" t="s">
        <v>512</v>
      </c>
      <c r="AE224" s="101"/>
    </row>
    <row r="225" spans="1:31">
      <c r="A225" s="26">
        <v>240</v>
      </c>
      <c r="B225" s="232">
        <v>45929</v>
      </c>
      <c r="C225" s="28">
        <v>90</v>
      </c>
      <c r="D225" s="286"/>
      <c r="E225" s="27"/>
      <c r="F225" s="28" t="s">
        <v>478</v>
      </c>
      <c r="G225" s="188" t="s">
        <v>436</v>
      </c>
      <c r="H225" s="30">
        <v>90</v>
      </c>
      <c r="I225" s="188" t="s">
        <v>436</v>
      </c>
      <c r="J225" s="30" t="s">
        <v>478</v>
      </c>
      <c r="K225" s="188" t="s">
        <v>436</v>
      </c>
      <c r="L225" s="30" t="s">
        <v>535</v>
      </c>
      <c r="M225" s="30">
        <v>85</v>
      </c>
      <c r="N225" s="75">
        <v>4</v>
      </c>
      <c r="Z225" s="82" t="str">
        <f>IF(SUM(M225,N225)=C225,"DONE"," ")</f>
        <v xml:space="preserve"> </v>
      </c>
      <c r="AA225" s="93">
        <v>45932</v>
      </c>
      <c r="AB225" s="108">
        <v>46050</v>
      </c>
      <c r="AC225" t="s">
        <v>512</v>
      </c>
      <c r="AE225" s="101"/>
    </row>
    <row r="226" spans="1:31">
      <c r="A226" s="26">
        <v>241</v>
      </c>
      <c r="B226" s="232">
        <v>45931</v>
      </c>
      <c r="C226" s="28">
        <v>90</v>
      </c>
      <c r="D226" s="286"/>
      <c r="E226" s="27"/>
      <c r="F226" s="28" t="s">
        <v>540</v>
      </c>
      <c r="G226" s="188" t="s">
        <v>436</v>
      </c>
      <c r="H226" s="30">
        <v>90</v>
      </c>
      <c r="I226" s="188" t="s">
        <v>436</v>
      </c>
      <c r="J226" s="30" t="s">
        <v>472</v>
      </c>
      <c r="K226" s="188" t="s">
        <v>436</v>
      </c>
      <c r="L226" s="30" t="s">
        <v>535</v>
      </c>
      <c r="M226" s="30">
        <v>89</v>
      </c>
      <c r="N226" s="75">
        <v>1</v>
      </c>
      <c r="Z226" s="82" t="str">
        <f>IF(SUM(M226,N226)=C226,"DONE"," ")</f>
        <v>DONE</v>
      </c>
      <c r="AA226" s="93">
        <v>45936</v>
      </c>
      <c r="AB226" s="108">
        <v>46050</v>
      </c>
      <c r="AC226" t="s">
        <v>512</v>
      </c>
      <c r="AE226" s="101"/>
    </row>
    <row r="227" spans="1:31">
      <c r="A227" s="26">
        <v>242</v>
      </c>
      <c r="B227" s="232">
        <v>45931</v>
      </c>
      <c r="C227" s="28">
        <v>90</v>
      </c>
      <c r="D227" s="286"/>
      <c r="E227" s="27"/>
      <c r="F227" s="28" t="s">
        <v>473</v>
      </c>
      <c r="G227" s="188" t="s">
        <v>436</v>
      </c>
      <c r="H227" s="30">
        <v>90</v>
      </c>
      <c r="I227" s="188" t="s">
        <v>436</v>
      </c>
      <c r="J227" s="30" t="s">
        <v>467</v>
      </c>
      <c r="K227" s="188" t="s">
        <v>436</v>
      </c>
      <c r="L227" s="30" t="s">
        <v>535</v>
      </c>
      <c r="M227" s="30">
        <v>87</v>
      </c>
      <c r="N227" s="75">
        <v>3</v>
      </c>
      <c r="Z227" s="82" t="str">
        <f>IF(SUM(M227,N227)=C227,"DONE"," ")</f>
        <v>DONE</v>
      </c>
      <c r="AA227" s="93">
        <v>45936</v>
      </c>
      <c r="AB227" s="108">
        <v>46037</v>
      </c>
      <c r="AC227" t="s">
        <v>512</v>
      </c>
      <c r="AE227" s="101"/>
    </row>
    <row r="228" spans="1:31">
      <c r="A228" s="26">
        <v>243</v>
      </c>
      <c r="B228" s="232">
        <v>45931</v>
      </c>
      <c r="C228" s="28">
        <v>90</v>
      </c>
      <c r="D228" s="286"/>
      <c r="E228" s="27"/>
      <c r="F228" s="28" t="s">
        <v>472</v>
      </c>
      <c r="G228" s="188" t="s">
        <v>436</v>
      </c>
      <c r="H228" s="30">
        <v>90</v>
      </c>
      <c r="I228" s="188" t="s">
        <v>436</v>
      </c>
      <c r="J228" s="30" t="s">
        <v>472</v>
      </c>
      <c r="K228" s="188" t="s">
        <v>436</v>
      </c>
      <c r="L228" s="30" t="s">
        <v>535</v>
      </c>
      <c r="M228" s="30">
        <v>88</v>
      </c>
      <c r="N228" s="75">
        <v>2</v>
      </c>
      <c r="Z228" s="82" t="str">
        <f>IF(SUM(M228,N228)=C228,"DONE"," ")</f>
        <v>DONE</v>
      </c>
      <c r="AA228" s="93">
        <v>45936</v>
      </c>
      <c r="AB228" s="108">
        <v>46050</v>
      </c>
      <c r="AC228" t="s">
        <v>512</v>
      </c>
      <c r="AE228" s="101"/>
    </row>
    <row r="229" spans="1:31">
      <c r="A229" s="26">
        <v>245</v>
      </c>
      <c r="B229" s="232">
        <v>45932</v>
      </c>
      <c r="C229" s="28">
        <v>90</v>
      </c>
      <c r="D229" s="286"/>
      <c r="E229" s="27"/>
      <c r="F229" s="28" t="s">
        <v>473</v>
      </c>
      <c r="G229" s="188" t="s">
        <v>436</v>
      </c>
      <c r="H229" s="30">
        <v>90</v>
      </c>
      <c r="I229" s="188" t="s">
        <v>436</v>
      </c>
      <c r="J229" s="30" t="s">
        <v>467</v>
      </c>
      <c r="K229" s="188" t="s">
        <v>436</v>
      </c>
      <c r="L229" s="30" t="s">
        <v>535</v>
      </c>
      <c r="M229" s="30">
        <v>89</v>
      </c>
      <c r="N229" s="75">
        <v>1</v>
      </c>
      <c r="Z229" s="82" t="str">
        <f>IF(SUM(M229,N229)=C229,"DONE"," ")</f>
        <v>DONE</v>
      </c>
      <c r="AA229" s="93">
        <v>45938</v>
      </c>
      <c r="AB229" s="108">
        <v>46050</v>
      </c>
      <c r="AC229" t="s">
        <v>512</v>
      </c>
      <c r="AE229" s="101"/>
    </row>
    <row r="230" spans="1:31">
      <c r="A230" s="26">
        <v>246</v>
      </c>
      <c r="B230" s="232">
        <v>45932</v>
      </c>
      <c r="C230" s="28">
        <v>90</v>
      </c>
      <c r="D230" s="286"/>
      <c r="E230" s="27"/>
      <c r="F230" s="28" t="s">
        <v>540</v>
      </c>
      <c r="G230" s="188" t="s">
        <v>436</v>
      </c>
      <c r="H230" s="30">
        <v>90</v>
      </c>
      <c r="I230" s="188" t="s">
        <v>436</v>
      </c>
      <c r="J230" s="30" t="s">
        <v>472</v>
      </c>
      <c r="K230" s="188" t="s">
        <v>436</v>
      </c>
      <c r="L230" s="30" t="s">
        <v>535</v>
      </c>
      <c r="M230" s="30">
        <v>88</v>
      </c>
      <c r="N230" s="75">
        <v>2</v>
      </c>
      <c r="Z230" s="82" t="str">
        <f>IF(SUM(M230,N230)=C230,"DONE"," ")</f>
        <v>DONE</v>
      </c>
      <c r="AA230" s="93">
        <v>45938</v>
      </c>
      <c r="AB230" s="108">
        <v>46050</v>
      </c>
      <c r="AC230" t="s">
        <v>512</v>
      </c>
      <c r="AE230" s="101"/>
    </row>
    <row r="231" spans="1:31">
      <c r="A231" s="26">
        <v>247</v>
      </c>
      <c r="B231" s="94">
        <v>45935</v>
      </c>
      <c r="C231" s="28">
        <v>90</v>
      </c>
      <c r="D231" s="286"/>
      <c r="E231" s="27"/>
      <c r="F231" s="28" t="s">
        <v>473</v>
      </c>
      <c r="G231" s="188" t="s">
        <v>436</v>
      </c>
      <c r="H231" s="30">
        <v>90</v>
      </c>
      <c r="I231" s="188" t="s">
        <v>436</v>
      </c>
      <c r="J231" s="30" t="s">
        <v>467</v>
      </c>
      <c r="K231" s="188" t="s">
        <v>436</v>
      </c>
      <c r="L231" s="30" t="s">
        <v>535</v>
      </c>
      <c r="M231" s="30">
        <v>88</v>
      </c>
      <c r="N231" s="75">
        <v>2</v>
      </c>
      <c r="Z231" s="82" t="str">
        <f>IF(SUM(M231,N231)=C231,"DONE"," ")</f>
        <v>DONE</v>
      </c>
      <c r="AA231" s="93">
        <v>45938</v>
      </c>
      <c r="AB231" s="108">
        <v>46052</v>
      </c>
      <c r="AC231" t="s">
        <v>512</v>
      </c>
      <c r="AE231" s="101"/>
    </row>
    <row r="232" spans="1:31">
      <c r="A232" s="26">
        <v>248</v>
      </c>
      <c r="B232" s="94">
        <v>45935</v>
      </c>
      <c r="C232" s="28">
        <v>90</v>
      </c>
      <c r="D232" s="286"/>
      <c r="E232" s="27"/>
      <c r="F232" s="28" t="s">
        <v>540</v>
      </c>
      <c r="G232" s="188" t="s">
        <v>436</v>
      </c>
      <c r="H232" s="30">
        <v>90</v>
      </c>
      <c r="I232" s="188" t="s">
        <v>436</v>
      </c>
      <c r="J232" s="30" t="s">
        <v>472</v>
      </c>
      <c r="K232" s="188" t="s">
        <v>436</v>
      </c>
      <c r="L232" s="30" t="s">
        <v>535</v>
      </c>
      <c r="M232" s="30">
        <v>89</v>
      </c>
      <c r="N232" s="75">
        <v>1</v>
      </c>
      <c r="Z232" s="82" t="str">
        <f>IF(SUM(M232,N232)=C232,"DONE"," ")</f>
        <v>DONE</v>
      </c>
      <c r="AA232" s="93">
        <v>45940</v>
      </c>
      <c r="AB232" s="108">
        <v>46052</v>
      </c>
      <c r="AC232" t="s">
        <v>512</v>
      </c>
      <c r="AE232" s="101"/>
    </row>
    <row r="233" spans="1:31">
      <c r="A233" s="26">
        <v>249</v>
      </c>
      <c r="B233" s="94">
        <v>45935</v>
      </c>
      <c r="C233" s="28">
        <v>90</v>
      </c>
      <c r="D233" s="286"/>
      <c r="E233" s="27"/>
      <c r="F233" s="28" t="s">
        <v>470</v>
      </c>
      <c r="G233" s="188" t="s">
        <v>436</v>
      </c>
      <c r="H233" s="30">
        <v>90</v>
      </c>
      <c r="I233" s="188" t="s">
        <v>436</v>
      </c>
      <c r="J233" s="30" t="s">
        <v>478</v>
      </c>
      <c r="K233" s="188" t="s">
        <v>436</v>
      </c>
      <c r="L233" s="30" t="s">
        <v>535</v>
      </c>
      <c r="M233" s="30">
        <v>86</v>
      </c>
      <c r="N233" s="75">
        <v>4</v>
      </c>
      <c r="Z233" s="82" t="str">
        <f>IF(SUM(M233,N233)=C233,"DONE"," ")</f>
        <v>DONE</v>
      </c>
      <c r="AA233" s="93">
        <v>45938</v>
      </c>
      <c r="AB233" s="108">
        <v>46052</v>
      </c>
      <c r="AC233" t="s">
        <v>512</v>
      </c>
      <c r="AE233" s="101"/>
    </row>
    <row r="234" spans="1:31">
      <c r="A234" s="26">
        <v>250</v>
      </c>
      <c r="B234" s="94">
        <v>45937</v>
      </c>
      <c r="C234" s="28">
        <v>90</v>
      </c>
      <c r="D234" s="286"/>
      <c r="E234" s="27"/>
      <c r="F234" s="28" t="s">
        <v>473</v>
      </c>
      <c r="G234" s="188" t="s">
        <v>436</v>
      </c>
      <c r="H234" s="30">
        <v>90</v>
      </c>
      <c r="I234" s="188" t="s">
        <v>436</v>
      </c>
      <c r="J234" s="30" t="s">
        <v>467</v>
      </c>
      <c r="K234" s="188" t="s">
        <v>436</v>
      </c>
      <c r="L234" s="30" t="s">
        <v>535</v>
      </c>
      <c r="M234" s="30">
        <v>86</v>
      </c>
      <c r="N234" s="75">
        <v>4</v>
      </c>
      <c r="Z234" s="82" t="str">
        <f>IF(SUM(M234,N234)=C234,"DONE"," ")</f>
        <v>DONE</v>
      </c>
      <c r="AA234" s="93">
        <v>45940</v>
      </c>
      <c r="AB234" s="108">
        <v>46037</v>
      </c>
      <c r="AC234" t="s">
        <v>512</v>
      </c>
      <c r="AE234" s="101"/>
    </row>
    <row r="235" spans="1:31">
      <c r="A235" s="26">
        <v>229</v>
      </c>
      <c r="B235" s="94">
        <v>45937</v>
      </c>
      <c r="C235" s="28">
        <v>90</v>
      </c>
      <c r="D235" s="286"/>
      <c r="E235" s="27"/>
      <c r="F235" s="28" t="s">
        <v>470</v>
      </c>
      <c r="G235" s="188" t="s">
        <v>436</v>
      </c>
      <c r="H235" s="30">
        <v>90</v>
      </c>
      <c r="I235" s="188" t="s">
        <v>436</v>
      </c>
      <c r="J235" s="30" t="s">
        <v>478</v>
      </c>
      <c r="K235" s="188" t="s">
        <v>436</v>
      </c>
      <c r="L235" s="30" t="s">
        <v>535</v>
      </c>
      <c r="M235" s="30">
        <v>89</v>
      </c>
      <c r="N235" s="75">
        <v>1</v>
      </c>
      <c r="Z235" s="82" t="str">
        <f>IF(SUM(M235,N235)=C235,"DONE"," ")</f>
        <v>DONE</v>
      </c>
      <c r="AA235" s="93">
        <v>45940</v>
      </c>
      <c r="AB235" s="108">
        <v>46052</v>
      </c>
      <c r="AC235" t="s">
        <v>512</v>
      </c>
      <c r="AE235" s="101"/>
    </row>
    <row r="236" spans="1:31">
      <c r="A236" s="26">
        <v>251</v>
      </c>
      <c r="B236" s="94">
        <v>45939</v>
      </c>
      <c r="C236" s="28">
        <v>90</v>
      </c>
      <c r="D236" s="286"/>
      <c r="E236" s="27"/>
      <c r="F236" s="28" t="s">
        <v>540</v>
      </c>
      <c r="G236" s="188" t="s">
        <v>436</v>
      </c>
      <c r="H236" s="30">
        <v>90</v>
      </c>
      <c r="I236" s="188" t="s">
        <v>436</v>
      </c>
      <c r="J236" s="30" t="s">
        <v>472</v>
      </c>
      <c r="K236" s="188" t="s">
        <v>436</v>
      </c>
      <c r="L236" s="30" t="s">
        <v>535</v>
      </c>
      <c r="M236" s="30">
        <v>88</v>
      </c>
      <c r="N236" s="75">
        <v>2</v>
      </c>
      <c r="Z236" s="82" t="str">
        <f>IF(SUM(M236,N236)=C236,"DONE"," ")</f>
        <v>DONE</v>
      </c>
      <c r="AA236" s="93">
        <v>45940</v>
      </c>
      <c r="AB236" s="108">
        <v>46052</v>
      </c>
      <c r="AC236" t="s">
        <v>512</v>
      </c>
      <c r="AE236" s="101"/>
    </row>
    <row r="237" spans="1:31">
      <c r="A237" s="26">
        <v>252</v>
      </c>
      <c r="B237" s="94">
        <v>45939</v>
      </c>
      <c r="C237" s="28">
        <v>90</v>
      </c>
      <c r="D237" s="286"/>
      <c r="E237" s="27"/>
      <c r="F237" s="28" t="s">
        <v>473</v>
      </c>
      <c r="G237" s="188" t="s">
        <v>436</v>
      </c>
      <c r="H237" s="30">
        <v>90</v>
      </c>
      <c r="I237" s="188" t="s">
        <v>436</v>
      </c>
      <c r="J237" s="30" t="s">
        <v>467</v>
      </c>
      <c r="K237" s="188" t="s">
        <v>436</v>
      </c>
      <c r="L237" s="30" t="s">
        <v>535</v>
      </c>
      <c r="M237" s="30">
        <v>86</v>
      </c>
      <c r="N237" s="75">
        <v>4</v>
      </c>
      <c r="Z237" s="82" t="str">
        <f>IF(SUM(M237,N237)=C237,"DONE"," ")</f>
        <v>DONE</v>
      </c>
      <c r="AA237" s="93">
        <v>45940</v>
      </c>
      <c r="AB237" s="108">
        <v>46052</v>
      </c>
      <c r="AC237" t="s">
        <v>512</v>
      </c>
      <c r="AE237" s="101"/>
    </row>
    <row r="238" spans="1:31">
      <c r="A238" s="26">
        <v>253</v>
      </c>
      <c r="B238" s="94">
        <v>45940</v>
      </c>
      <c r="C238" s="28">
        <v>90</v>
      </c>
      <c r="D238" s="286"/>
      <c r="E238" s="27"/>
      <c r="F238" s="28" t="s">
        <v>536</v>
      </c>
      <c r="G238" s="188" t="s">
        <v>436</v>
      </c>
      <c r="H238" s="30">
        <v>90</v>
      </c>
      <c r="I238" s="188" t="s">
        <v>436</v>
      </c>
      <c r="J238" s="30" t="s">
        <v>472</v>
      </c>
      <c r="K238" s="188" t="s">
        <v>436</v>
      </c>
      <c r="L238" s="30" t="s">
        <v>535</v>
      </c>
      <c r="M238" s="30">
        <v>87</v>
      </c>
      <c r="N238" s="75">
        <v>3</v>
      </c>
      <c r="Z238" s="82" t="str">
        <f>IF(SUM(M238,N238)=C238,"DONE"," ")</f>
        <v>DONE</v>
      </c>
      <c r="AA238" s="93">
        <v>45944</v>
      </c>
      <c r="AB238" s="108">
        <v>46037</v>
      </c>
      <c r="AC238" t="s">
        <v>512</v>
      </c>
      <c r="AE238" s="101"/>
    </row>
    <row r="239" spans="1:31">
      <c r="A239" s="26">
        <v>254</v>
      </c>
      <c r="B239" s="94">
        <v>45940</v>
      </c>
      <c r="C239" s="28">
        <v>90</v>
      </c>
      <c r="D239" s="286"/>
      <c r="E239" s="27"/>
      <c r="F239" s="28" t="s">
        <v>473</v>
      </c>
      <c r="G239" s="188" t="s">
        <v>436</v>
      </c>
      <c r="H239" s="30">
        <v>90</v>
      </c>
      <c r="I239" s="188" t="s">
        <v>436</v>
      </c>
      <c r="J239" s="30" t="s">
        <v>467</v>
      </c>
      <c r="K239" s="188" t="s">
        <v>436</v>
      </c>
      <c r="L239" s="30" t="s">
        <v>535</v>
      </c>
      <c r="M239" s="30">
        <v>87</v>
      </c>
      <c r="N239" s="75">
        <v>3</v>
      </c>
      <c r="Z239" s="82" t="str">
        <f>IF(SUM(M239,N239)=C239,"DONE"," ")</f>
        <v>DONE</v>
      </c>
      <c r="AA239" s="93">
        <v>45944</v>
      </c>
      <c r="AB239" s="108">
        <v>46037</v>
      </c>
      <c r="AC239" t="s">
        <v>512</v>
      </c>
      <c r="AE239" s="101"/>
    </row>
    <row r="240" spans="1:31">
      <c r="A240" s="26">
        <v>255</v>
      </c>
      <c r="B240" s="94">
        <v>45941</v>
      </c>
      <c r="C240" s="28">
        <v>90</v>
      </c>
      <c r="D240" s="286"/>
      <c r="E240" s="27"/>
      <c r="F240" s="28" t="s">
        <v>540</v>
      </c>
      <c r="G240" s="188" t="s">
        <v>436</v>
      </c>
      <c r="H240" s="30">
        <v>90</v>
      </c>
      <c r="I240" s="188" t="s">
        <v>436</v>
      </c>
      <c r="J240" s="30" t="s">
        <v>472</v>
      </c>
      <c r="K240" s="188" t="s">
        <v>436</v>
      </c>
      <c r="L240" s="30" t="s">
        <v>535</v>
      </c>
      <c r="M240" s="30">
        <v>89</v>
      </c>
      <c r="N240" s="75">
        <v>1</v>
      </c>
      <c r="Z240" s="82" t="str">
        <f>IF(SUM(M240,N240)=C240,"DONE"," ")</f>
        <v>DONE</v>
      </c>
      <c r="AA240" s="93">
        <v>45944</v>
      </c>
      <c r="AB240" s="108">
        <v>46052</v>
      </c>
      <c r="AC240" t="s">
        <v>512</v>
      </c>
      <c r="AE240" s="101"/>
    </row>
    <row r="241" spans="1:35">
      <c r="A241" s="26">
        <v>257</v>
      </c>
      <c r="B241" s="94">
        <v>45947</v>
      </c>
      <c r="C241" s="28">
        <v>90</v>
      </c>
      <c r="D241" s="286"/>
      <c r="E241" s="27"/>
      <c r="F241" s="28" t="s">
        <v>473</v>
      </c>
      <c r="G241" s="188" t="s">
        <v>436</v>
      </c>
      <c r="H241" s="30">
        <v>90</v>
      </c>
      <c r="I241" s="188" t="s">
        <v>436</v>
      </c>
      <c r="J241" s="30" t="s">
        <v>467</v>
      </c>
      <c r="K241" s="188" t="s">
        <v>436</v>
      </c>
      <c r="L241" s="30" t="s">
        <v>535</v>
      </c>
      <c r="M241" s="30">
        <v>87</v>
      </c>
      <c r="N241" s="75">
        <v>3</v>
      </c>
      <c r="Z241" s="82" t="str">
        <f>IF(SUM(M241,N241)=C241,"DONE"," ")</f>
        <v>DONE</v>
      </c>
      <c r="AA241" s="93">
        <v>45952</v>
      </c>
      <c r="AB241" s="108">
        <v>46037</v>
      </c>
      <c r="AC241" t="s">
        <v>512</v>
      </c>
      <c r="AE241" s="101"/>
    </row>
    <row r="242" spans="1:35">
      <c r="A242" s="26">
        <v>258</v>
      </c>
      <c r="B242" s="94">
        <v>45947</v>
      </c>
      <c r="C242" s="28">
        <v>90</v>
      </c>
      <c r="D242" s="286"/>
      <c r="E242" s="27"/>
      <c r="F242" s="28" t="s">
        <v>540</v>
      </c>
      <c r="G242" s="188" t="s">
        <v>436</v>
      </c>
      <c r="H242" s="30">
        <v>90</v>
      </c>
      <c r="I242" s="188" t="s">
        <v>436</v>
      </c>
      <c r="J242" s="30" t="s">
        <v>472</v>
      </c>
      <c r="K242" s="188" t="s">
        <v>436</v>
      </c>
      <c r="L242" s="30" t="s">
        <v>535</v>
      </c>
      <c r="M242" s="30">
        <v>85</v>
      </c>
      <c r="N242" s="75">
        <v>5</v>
      </c>
      <c r="Z242" s="82" t="str">
        <f>IF(SUM(M242,N242)=C242,"DONE"," ")</f>
        <v>DONE</v>
      </c>
      <c r="AA242" s="93">
        <v>45952</v>
      </c>
      <c r="AB242" s="108">
        <v>46052</v>
      </c>
      <c r="AC242" t="s">
        <v>512</v>
      </c>
      <c r="AE242" s="101"/>
    </row>
    <row r="243" spans="1:35">
      <c r="A243" s="26">
        <v>259</v>
      </c>
      <c r="B243" s="94">
        <v>45945</v>
      </c>
      <c r="C243" s="28">
        <v>90</v>
      </c>
      <c r="D243" s="286"/>
      <c r="E243" s="27"/>
      <c r="F243" s="28" t="s">
        <v>553</v>
      </c>
      <c r="G243" s="188" t="s">
        <v>436</v>
      </c>
      <c r="H243" s="30">
        <v>90</v>
      </c>
      <c r="I243" s="188" t="s">
        <v>436</v>
      </c>
      <c r="J243" s="30" t="s">
        <v>469</v>
      </c>
      <c r="K243" s="188" t="s">
        <v>436</v>
      </c>
      <c r="L243" s="30" t="s">
        <v>535</v>
      </c>
      <c r="M243" s="30">
        <v>86</v>
      </c>
      <c r="N243" s="75">
        <v>4</v>
      </c>
      <c r="Z243" s="82" t="str">
        <f>IF(SUM(M243,N243)=C243,"DONE"," ")</f>
        <v>DONE</v>
      </c>
      <c r="AA243" s="93">
        <v>45946</v>
      </c>
      <c r="AB243" s="108">
        <v>46052</v>
      </c>
      <c r="AC243" t="s">
        <v>512</v>
      </c>
      <c r="AE243" s="101"/>
    </row>
    <row r="244" spans="1:35">
      <c r="A244" s="26">
        <v>256</v>
      </c>
      <c r="B244" s="94">
        <v>45946</v>
      </c>
      <c r="C244" s="28">
        <v>90</v>
      </c>
      <c r="D244" s="286"/>
      <c r="E244" s="27"/>
      <c r="F244" s="28" t="s">
        <v>519</v>
      </c>
      <c r="G244" s="188" t="s">
        <v>436</v>
      </c>
      <c r="H244" s="30">
        <v>90</v>
      </c>
      <c r="I244" s="188" t="s">
        <v>436</v>
      </c>
      <c r="J244" s="30" t="s">
        <v>472</v>
      </c>
      <c r="K244" s="188" t="s">
        <v>436</v>
      </c>
      <c r="L244" s="30" t="s">
        <v>535</v>
      </c>
      <c r="M244" s="30">
        <v>82</v>
      </c>
      <c r="N244" s="75" t="str">
        <f>IF(M244=C244,"-","")</f>
        <v/>
      </c>
      <c r="Z244" s="82" t="str">
        <f>IF(SUM(M244,N244)=C244,"DONE"," ")</f>
        <v xml:space="preserve"> </v>
      </c>
      <c r="AA244" s="93">
        <v>45947</v>
      </c>
      <c r="AB244" s="1"/>
      <c r="AC244" t="s">
        <v>512</v>
      </c>
      <c r="AE244" s="101"/>
    </row>
    <row r="245" spans="1:35">
      <c r="A245" s="26">
        <v>260</v>
      </c>
      <c r="B245" s="94">
        <v>45947</v>
      </c>
      <c r="C245" s="28">
        <v>90</v>
      </c>
      <c r="D245" s="286"/>
      <c r="E245" s="27"/>
      <c r="F245" s="28" t="s">
        <v>470</v>
      </c>
      <c r="G245" s="188" t="s">
        <v>436</v>
      </c>
      <c r="H245" s="30">
        <v>90</v>
      </c>
      <c r="I245" s="188" t="s">
        <v>436</v>
      </c>
      <c r="J245" s="30" t="s">
        <v>478</v>
      </c>
      <c r="K245" s="188" t="s">
        <v>436</v>
      </c>
      <c r="L245" s="30" t="s">
        <v>535</v>
      </c>
      <c r="M245" s="30">
        <v>87</v>
      </c>
      <c r="N245" s="75">
        <v>3</v>
      </c>
      <c r="Z245" s="82" t="str">
        <f>IF(SUM(M245,N245)=C245,"DONE"," ")</f>
        <v>DONE</v>
      </c>
      <c r="AA245" s="93">
        <v>45950</v>
      </c>
      <c r="AB245" s="108">
        <v>46052</v>
      </c>
      <c r="AC245" t="s">
        <v>512</v>
      </c>
      <c r="AE245" s="101"/>
    </row>
    <row r="246" spans="1:35">
      <c r="A246" s="26">
        <v>261</v>
      </c>
      <c r="B246" s="94">
        <v>45947</v>
      </c>
      <c r="C246" s="28">
        <v>90</v>
      </c>
      <c r="D246" s="286"/>
      <c r="E246" s="27"/>
      <c r="F246" s="28" t="s">
        <v>473</v>
      </c>
      <c r="G246" s="188" t="s">
        <v>436</v>
      </c>
      <c r="H246" s="30">
        <v>90</v>
      </c>
      <c r="I246" s="188" t="s">
        <v>436</v>
      </c>
      <c r="J246" s="30" t="s">
        <v>467</v>
      </c>
      <c r="K246" s="188" t="s">
        <v>436</v>
      </c>
      <c r="L246" s="30" t="s">
        <v>535</v>
      </c>
      <c r="M246" s="30">
        <v>89</v>
      </c>
      <c r="N246" s="75">
        <v>1</v>
      </c>
      <c r="Z246" s="82" t="str">
        <f>IF(SUM(M246,N246)=C246,"DONE"," ")</f>
        <v>DONE</v>
      </c>
      <c r="AA246" s="93">
        <v>45952</v>
      </c>
      <c r="AB246" s="108">
        <v>46052</v>
      </c>
      <c r="AC246" t="s">
        <v>512</v>
      </c>
      <c r="AE246" s="101"/>
    </row>
    <row r="247" spans="1:35">
      <c r="A247" s="26">
        <v>262</v>
      </c>
      <c r="B247" s="94">
        <v>45950</v>
      </c>
      <c r="C247" s="28">
        <v>90</v>
      </c>
      <c r="D247" s="286"/>
      <c r="E247" s="27"/>
      <c r="F247" s="28" t="s">
        <v>540</v>
      </c>
      <c r="G247" s="188" t="s">
        <v>436</v>
      </c>
      <c r="H247" s="30">
        <v>90</v>
      </c>
      <c r="I247" s="188" t="s">
        <v>436</v>
      </c>
      <c r="J247" s="30" t="s">
        <v>472</v>
      </c>
      <c r="K247" s="188" t="s">
        <v>436</v>
      </c>
      <c r="L247" s="30" t="s">
        <v>535</v>
      </c>
      <c r="M247" s="30">
        <v>85</v>
      </c>
      <c r="N247" s="75" t="str">
        <f>IF(M247=C247,"-","")</f>
        <v/>
      </c>
      <c r="Z247" s="82" t="str">
        <f>IF(SUM(M247,N247)=C247,"DONE"," ")</f>
        <v xml:space="preserve"> </v>
      </c>
      <c r="AA247" s="93">
        <v>45952</v>
      </c>
      <c r="AB247" s="1"/>
      <c r="AC247" t="s">
        <v>512</v>
      </c>
      <c r="AE247" s="101"/>
    </row>
    <row r="248" spans="1:35">
      <c r="A248" s="26">
        <v>263</v>
      </c>
      <c r="B248" s="94">
        <v>45950</v>
      </c>
      <c r="C248" s="28">
        <v>90</v>
      </c>
      <c r="D248" s="286"/>
      <c r="E248" s="27"/>
      <c r="F248" s="28" t="s">
        <v>470</v>
      </c>
      <c r="G248" s="188" t="s">
        <v>436</v>
      </c>
      <c r="H248" s="30">
        <v>90</v>
      </c>
      <c r="I248" s="188" t="s">
        <v>436</v>
      </c>
      <c r="J248" s="30" t="s">
        <v>472</v>
      </c>
      <c r="K248" s="188" t="s">
        <v>436</v>
      </c>
      <c r="L248" s="30" t="s">
        <v>535</v>
      </c>
      <c r="M248" s="30">
        <v>87</v>
      </c>
      <c r="N248" s="75">
        <v>3</v>
      </c>
      <c r="Z248" s="82" t="str">
        <f>IF(SUM(M248,N248)=C248,"DONE"," ")</f>
        <v>DONE</v>
      </c>
      <c r="AA248" s="93">
        <v>45952</v>
      </c>
      <c r="AB248" s="108">
        <v>46052</v>
      </c>
      <c r="AC248" t="s">
        <v>512</v>
      </c>
      <c r="AE248" s="101"/>
    </row>
    <row r="249" spans="1:35" s="101" customFormat="1" ht="24">
      <c r="A249" s="176" t="s">
        <v>554</v>
      </c>
      <c r="B249" s="166">
        <v>45950</v>
      </c>
      <c r="C249" s="167">
        <v>90</v>
      </c>
      <c r="D249" s="287"/>
      <c r="E249" s="96"/>
      <c r="F249" s="167" t="s">
        <v>470</v>
      </c>
      <c r="G249" s="188" t="s">
        <v>436</v>
      </c>
      <c r="H249" s="168">
        <v>90</v>
      </c>
      <c r="I249" s="188" t="s">
        <v>436</v>
      </c>
      <c r="J249" s="168" t="s">
        <v>494</v>
      </c>
      <c r="K249" s="188" t="s">
        <v>436</v>
      </c>
      <c r="L249" s="113" t="s">
        <v>535</v>
      </c>
      <c r="M249" s="168">
        <v>88</v>
      </c>
      <c r="N249" s="75" t="str">
        <f>IF(M249=C249,"-","")</f>
        <v/>
      </c>
      <c r="O249" s="99"/>
      <c r="P249" s="100"/>
      <c r="Q249" s="100"/>
      <c r="R249" s="100"/>
      <c r="S249" s="96"/>
      <c r="T249" s="98"/>
      <c r="U249" s="98"/>
      <c r="V249" s="98"/>
      <c r="W249" s="98"/>
      <c r="X249" s="98"/>
      <c r="Z249" s="82" t="str">
        <f>IF(SUM(M249,N249)=C249,"DONE"," ")</f>
        <v xml:space="preserve"> </v>
      </c>
      <c r="AA249" s="138">
        <v>45986</v>
      </c>
      <c r="AB249" s="1"/>
      <c r="AC249" s="122" t="s">
        <v>555</v>
      </c>
      <c r="AD249" s="143" t="s">
        <v>556</v>
      </c>
      <c r="AE249" s="133" t="s">
        <v>557</v>
      </c>
      <c r="AI249"/>
    </row>
    <row r="250" spans="1:35">
      <c r="A250" s="26">
        <v>264</v>
      </c>
      <c r="B250" s="94">
        <v>45951</v>
      </c>
      <c r="C250" s="28">
        <v>90</v>
      </c>
      <c r="D250" s="286"/>
      <c r="E250" s="27"/>
      <c r="F250" s="28" t="s">
        <v>473</v>
      </c>
      <c r="G250" s="188" t="s">
        <v>436</v>
      </c>
      <c r="H250" s="30">
        <v>90</v>
      </c>
      <c r="I250" s="188" t="s">
        <v>436</v>
      </c>
      <c r="J250" s="30" t="s">
        <v>472</v>
      </c>
      <c r="K250" s="188" t="s">
        <v>436</v>
      </c>
      <c r="L250" s="30" t="s">
        <v>535</v>
      </c>
      <c r="M250" s="30">
        <v>89</v>
      </c>
      <c r="N250" s="75">
        <v>1</v>
      </c>
      <c r="Z250" s="82" t="str">
        <f>IF(SUM(M250,N250)=C250,"DONE"," ")</f>
        <v>DONE</v>
      </c>
      <c r="AA250" s="93">
        <v>45952</v>
      </c>
      <c r="AB250" s="108">
        <v>46052</v>
      </c>
      <c r="AC250" t="s">
        <v>512</v>
      </c>
      <c r="AE250" s="101"/>
    </row>
    <row r="251" spans="1:35">
      <c r="A251" s="26">
        <v>265</v>
      </c>
      <c r="B251" s="94">
        <v>45951</v>
      </c>
      <c r="C251" s="28">
        <v>90</v>
      </c>
      <c r="D251" s="286"/>
      <c r="E251" s="27"/>
      <c r="F251" s="28" t="s">
        <v>470</v>
      </c>
      <c r="G251" s="188" t="s">
        <v>436</v>
      </c>
      <c r="H251" s="30">
        <v>90</v>
      </c>
      <c r="I251" s="188" t="s">
        <v>436</v>
      </c>
      <c r="J251" s="30" t="s">
        <v>472</v>
      </c>
      <c r="K251" s="188" t="s">
        <v>436</v>
      </c>
      <c r="L251" s="30" t="s">
        <v>535</v>
      </c>
      <c r="M251" s="30">
        <v>88</v>
      </c>
      <c r="N251" s="75">
        <v>2</v>
      </c>
      <c r="Z251" s="82" t="str">
        <f>IF(SUM(M251,N251)=C251,"DONE"," ")</f>
        <v>DONE</v>
      </c>
      <c r="AA251" s="93">
        <v>45954</v>
      </c>
      <c r="AB251" s="108">
        <v>46037</v>
      </c>
      <c r="AC251" t="s">
        <v>512</v>
      </c>
      <c r="AE251" s="101"/>
    </row>
    <row r="252" spans="1:35">
      <c r="A252" s="26">
        <v>266</v>
      </c>
      <c r="B252" s="94">
        <v>45952</v>
      </c>
      <c r="C252" s="28">
        <v>90</v>
      </c>
      <c r="D252" s="286"/>
      <c r="E252" s="27"/>
      <c r="F252" s="28" t="s">
        <v>540</v>
      </c>
      <c r="G252" s="188" t="s">
        <v>436</v>
      </c>
      <c r="H252" s="30">
        <v>90</v>
      </c>
      <c r="I252" s="188" t="s">
        <v>436</v>
      </c>
      <c r="J252" s="30" t="s">
        <v>472</v>
      </c>
      <c r="K252" s="188" t="s">
        <v>436</v>
      </c>
      <c r="L252" s="30" t="s">
        <v>535</v>
      </c>
      <c r="M252" s="30">
        <v>87</v>
      </c>
      <c r="N252" s="75">
        <v>3</v>
      </c>
      <c r="Z252" s="82" t="str">
        <f>IF(SUM(M252,N252)=C252,"DONE"," ")</f>
        <v>DONE</v>
      </c>
      <c r="AA252" s="93">
        <v>45954</v>
      </c>
      <c r="AB252" s="108">
        <v>46052</v>
      </c>
      <c r="AC252" t="s">
        <v>512</v>
      </c>
      <c r="AE252" s="101"/>
    </row>
    <row r="253" spans="1:35">
      <c r="A253" s="26">
        <v>267</v>
      </c>
      <c r="B253" s="94">
        <v>45952</v>
      </c>
      <c r="C253" s="28">
        <v>90</v>
      </c>
      <c r="D253" s="286"/>
      <c r="E253" s="27"/>
      <c r="F253" s="28" t="s">
        <v>519</v>
      </c>
      <c r="G253" s="188" t="s">
        <v>436</v>
      </c>
      <c r="H253" s="30">
        <v>90</v>
      </c>
      <c r="I253" s="188" t="s">
        <v>436</v>
      </c>
      <c r="J253" s="30" t="s">
        <v>472</v>
      </c>
      <c r="K253" s="188" t="s">
        <v>436</v>
      </c>
      <c r="L253" s="30" t="s">
        <v>535</v>
      </c>
      <c r="M253" s="30">
        <v>88</v>
      </c>
      <c r="N253" s="75" t="str">
        <f>IF(M253=C253,"-","")</f>
        <v/>
      </c>
      <c r="Z253" s="82" t="str">
        <f>IF(SUM(M253,N253)=C253,"DONE"," ")</f>
        <v xml:space="preserve"> </v>
      </c>
      <c r="AA253" s="93">
        <v>45954</v>
      </c>
      <c r="AB253" s="1"/>
      <c r="AC253" t="s">
        <v>512</v>
      </c>
      <c r="AE253" s="101"/>
    </row>
    <row r="254" spans="1:35">
      <c r="A254" s="26">
        <v>268</v>
      </c>
      <c r="B254" s="94">
        <v>45953</v>
      </c>
      <c r="C254" s="28">
        <v>90</v>
      </c>
      <c r="D254" s="286"/>
      <c r="E254" s="27"/>
      <c r="F254" s="28" t="s">
        <v>540</v>
      </c>
      <c r="G254" s="188" t="s">
        <v>436</v>
      </c>
      <c r="H254" s="30">
        <v>90</v>
      </c>
      <c r="I254" s="188" t="s">
        <v>436</v>
      </c>
      <c r="J254" s="30" t="s">
        <v>478</v>
      </c>
      <c r="K254" s="188" t="s">
        <v>436</v>
      </c>
      <c r="L254" s="30" t="s">
        <v>535</v>
      </c>
      <c r="M254" s="30">
        <v>87</v>
      </c>
      <c r="N254" s="75">
        <v>3</v>
      </c>
      <c r="Z254" s="82" t="str">
        <f>IF(SUM(M254,N254)=C254,"DONE"," ")</f>
        <v>DONE</v>
      </c>
      <c r="AA254" s="93">
        <v>45958</v>
      </c>
      <c r="AB254" s="93">
        <v>46037</v>
      </c>
      <c r="AC254" t="s">
        <v>539</v>
      </c>
      <c r="AE254" s="101"/>
    </row>
    <row r="255" spans="1:35">
      <c r="A255" s="26">
        <v>269</v>
      </c>
      <c r="B255" s="94">
        <v>45953</v>
      </c>
      <c r="C255" s="28">
        <v>90</v>
      </c>
      <c r="D255" s="286"/>
      <c r="E255" s="27"/>
      <c r="F255" s="28" t="s">
        <v>470</v>
      </c>
      <c r="G255" s="188" t="s">
        <v>436</v>
      </c>
      <c r="H255" s="30">
        <v>90</v>
      </c>
      <c r="I255" s="188" t="s">
        <v>436</v>
      </c>
      <c r="J255" s="30" t="s">
        <v>436</v>
      </c>
      <c r="K255" s="188" t="s">
        <v>436</v>
      </c>
      <c r="L255" s="30" t="s">
        <v>535</v>
      </c>
      <c r="M255" s="30">
        <v>86</v>
      </c>
      <c r="N255" s="75" t="str">
        <f>IF(M255=C255,"-","")</f>
        <v/>
      </c>
      <c r="Z255" s="82" t="str">
        <f>IF(SUM(M255,N255)=C255,"DONE"," ")</f>
        <v xml:space="preserve"> </v>
      </c>
      <c r="AA255" s="93">
        <v>45954</v>
      </c>
      <c r="AB255" s="1"/>
      <c r="AC255" t="s">
        <v>539</v>
      </c>
      <c r="AE255" s="101"/>
    </row>
    <row r="256" spans="1:35">
      <c r="A256" s="26">
        <v>270</v>
      </c>
      <c r="B256" s="94">
        <v>45954</v>
      </c>
      <c r="C256" s="28">
        <v>90</v>
      </c>
      <c r="D256" s="286"/>
      <c r="E256" s="27"/>
      <c r="F256" s="28" t="s">
        <v>473</v>
      </c>
      <c r="G256" s="188" t="s">
        <v>436</v>
      </c>
      <c r="H256" s="30">
        <v>90</v>
      </c>
      <c r="I256" s="188" t="s">
        <v>436</v>
      </c>
      <c r="J256" s="30" t="s">
        <v>469</v>
      </c>
      <c r="K256" s="188" t="s">
        <v>436</v>
      </c>
      <c r="L256" s="30" t="s">
        <v>535</v>
      </c>
      <c r="M256" s="30">
        <v>88</v>
      </c>
      <c r="N256" s="75">
        <v>2</v>
      </c>
      <c r="Z256" s="82" t="str">
        <f>IF(SUM(M256,N256)=C256,"DONE"," ")</f>
        <v>DONE</v>
      </c>
      <c r="AA256" s="93">
        <v>45959</v>
      </c>
      <c r="AB256" s="108">
        <v>46037</v>
      </c>
      <c r="AC256" t="s">
        <v>512</v>
      </c>
      <c r="AE256" s="101"/>
    </row>
    <row r="257" spans="1:39">
      <c r="A257" s="26">
        <v>283</v>
      </c>
      <c r="B257" s="94">
        <v>45954</v>
      </c>
      <c r="C257" s="28">
        <v>92</v>
      </c>
      <c r="D257" s="286"/>
      <c r="E257" s="27"/>
      <c r="F257" s="28" t="s">
        <v>470</v>
      </c>
      <c r="G257" s="188" t="s">
        <v>436</v>
      </c>
      <c r="H257" s="30">
        <v>92</v>
      </c>
      <c r="I257" s="188" t="s">
        <v>436</v>
      </c>
      <c r="J257" s="30" t="s">
        <v>472</v>
      </c>
      <c r="K257" s="188" t="s">
        <v>436</v>
      </c>
      <c r="L257" s="30" t="s">
        <v>535</v>
      </c>
      <c r="M257" s="30">
        <v>91</v>
      </c>
      <c r="N257" s="75">
        <v>1</v>
      </c>
      <c r="Z257" s="82" t="str">
        <f>IF(SUM(M257,N257)=C257,"DONE"," ")</f>
        <v>DONE</v>
      </c>
      <c r="AA257" s="93">
        <v>45958</v>
      </c>
      <c r="AB257" s="108">
        <v>46052</v>
      </c>
      <c r="AC257" t="s">
        <v>512</v>
      </c>
      <c r="AE257" s="101"/>
    </row>
    <row r="258" spans="1:39">
      <c r="A258" s="26">
        <v>271</v>
      </c>
      <c r="B258" s="94">
        <v>45954</v>
      </c>
      <c r="C258" s="28">
        <v>90</v>
      </c>
      <c r="D258" s="286"/>
      <c r="E258" s="27"/>
      <c r="F258" s="28" t="s">
        <v>544</v>
      </c>
      <c r="G258" s="188" t="s">
        <v>436</v>
      </c>
      <c r="H258" s="30">
        <v>90</v>
      </c>
      <c r="I258" s="188" t="s">
        <v>436</v>
      </c>
      <c r="J258" s="30" t="s">
        <v>472</v>
      </c>
      <c r="K258" s="188" t="s">
        <v>436</v>
      </c>
      <c r="L258" s="30" t="s">
        <v>535</v>
      </c>
      <c r="M258" s="30">
        <v>88</v>
      </c>
      <c r="N258" s="75">
        <v>2</v>
      </c>
      <c r="Z258" s="82" t="str">
        <f>IF(SUM(M258,N258)=C258,"DONE"," ")</f>
        <v>DONE</v>
      </c>
      <c r="AA258" s="93">
        <v>45959</v>
      </c>
      <c r="AB258" s="108">
        <v>46052</v>
      </c>
      <c r="AC258" t="s">
        <v>512</v>
      </c>
      <c r="AE258" s="101"/>
    </row>
    <row r="259" spans="1:39">
      <c r="A259" s="26">
        <v>272</v>
      </c>
      <c r="B259" s="94">
        <v>45958</v>
      </c>
      <c r="C259" s="28">
        <v>90</v>
      </c>
      <c r="D259" s="286"/>
      <c r="E259" s="27"/>
      <c r="F259" s="28" t="s">
        <v>540</v>
      </c>
      <c r="G259" s="188" t="s">
        <v>436</v>
      </c>
      <c r="H259" s="30">
        <v>90</v>
      </c>
      <c r="I259" s="188" t="s">
        <v>436</v>
      </c>
      <c r="J259" s="30" t="s">
        <v>469</v>
      </c>
      <c r="K259" s="188" t="s">
        <v>436</v>
      </c>
      <c r="L259" s="30" t="s">
        <v>535</v>
      </c>
      <c r="M259" s="30">
        <v>89</v>
      </c>
      <c r="N259" s="75">
        <v>1</v>
      </c>
      <c r="Z259" s="82" t="str">
        <f>IF(SUM(M259,N259)=C259,"DONE"," ")</f>
        <v>DONE</v>
      </c>
      <c r="AA259" s="93">
        <v>45959</v>
      </c>
      <c r="AB259" s="108">
        <v>46052</v>
      </c>
      <c r="AC259" t="s">
        <v>512</v>
      </c>
      <c r="AE259" s="101"/>
    </row>
    <row r="260" spans="1:39">
      <c r="A260" s="26">
        <v>273</v>
      </c>
      <c r="B260" s="94">
        <v>45958</v>
      </c>
      <c r="C260" s="28">
        <v>90</v>
      </c>
      <c r="D260" s="286"/>
      <c r="E260" s="27"/>
      <c r="F260" s="28" t="s">
        <v>473</v>
      </c>
      <c r="G260" s="188" t="s">
        <v>436</v>
      </c>
      <c r="H260" s="30">
        <v>90</v>
      </c>
      <c r="I260" s="188" t="s">
        <v>436</v>
      </c>
      <c r="J260" s="30" t="s">
        <v>469</v>
      </c>
      <c r="K260" s="188" t="s">
        <v>436</v>
      </c>
      <c r="L260" s="30" t="s">
        <v>535</v>
      </c>
      <c r="M260" s="30">
        <v>90</v>
      </c>
      <c r="N260" s="75" t="str">
        <f>IF(M260=C260,"-","")</f>
        <v>-</v>
      </c>
      <c r="Z260" s="82" t="str">
        <f>IF(SUM(M260,N260)=C260,"DONE"," ")</f>
        <v>DONE</v>
      </c>
      <c r="AA260" s="92">
        <v>45961</v>
      </c>
      <c r="AB260" s="1"/>
      <c r="AC260" t="s">
        <v>512</v>
      </c>
      <c r="AE260" s="101"/>
    </row>
    <row r="261" spans="1:39">
      <c r="A261" s="26">
        <v>274</v>
      </c>
      <c r="B261" s="94">
        <v>45958</v>
      </c>
      <c r="C261" s="28">
        <v>90</v>
      </c>
      <c r="D261" s="286"/>
      <c r="E261" s="27"/>
      <c r="F261" s="28" t="s">
        <v>470</v>
      </c>
      <c r="G261" s="188" t="s">
        <v>436</v>
      </c>
      <c r="H261" s="30">
        <v>90</v>
      </c>
      <c r="I261" s="188" t="s">
        <v>436</v>
      </c>
      <c r="J261" s="30" t="s">
        <v>469</v>
      </c>
      <c r="K261" s="188" t="s">
        <v>436</v>
      </c>
      <c r="L261" s="30" t="s">
        <v>535</v>
      </c>
      <c r="M261" s="30">
        <v>89</v>
      </c>
      <c r="N261" s="75">
        <v>1</v>
      </c>
      <c r="Z261" s="82" t="str">
        <f>IF(SUM(M261,N261)=C261,"DONE"," ")</f>
        <v>DONE</v>
      </c>
      <c r="AA261" s="93">
        <v>45961</v>
      </c>
      <c r="AB261" s="108">
        <v>46052</v>
      </c>
      <c r="AC261" t="s">
        <v>512</v>
      </c>
      <c r="AE261" s="101"/>
    </row>
    <row r="262" spans="1:39">
      <c r="A262" s="26">
        <v>275</v>
      </c>
      <c r="B262" s="94">
        <v>45959</v>
      </c>
      <c r="C262" s="28">
        <v>90</v>
      </c>
      <c r="D262" s="286"/>
      <c r="E262" s="27"/>
      <c r="F262" s="28" t="s">
        <v>540</v>
      </c>
      <c r="G262" s="188" t="s">
        <v>436</v>
      </c>
      <c r="H262" s="30">
        <v>90</v>
      </c>
      <c r="I262" s="188" t="s">
        <v>436</v>
      </c>
      <c r="J262" s="30" t="s">
        <v>469</v>
      </c>
      <c r="K262" s="188" t="s">
        <v>436</v>
      </c>
      <c r="L262" s="30" t="s">
        <v>535</v>
      </c>
      <c r="M262" s="30">
        <v>90</v>
      </c>
      <c r="N262" s="75" t="str">
        <f>IF(M262=C262,"-","")</f>
        <v>-</v>
      </c>
      <c r="Z262" s="82" t="str">
        <f>IF(SUM(M262,N262)=C262,"DONE"," ")</f>
        <v>DONE</v>
      </c>
      <c r="AA262" s="92">
        <v>45961</v>
      </c>
      <c r="AB262" s="1"/>
      <c r="AC262" t="s">
        <v>512</v>
      </c>
      <c r="AE262" s="101"/>
    </row>
    <row r="263" spans="1:39">
      <c r="A263" s="26">
        <v>276</v>
      </c>
      <c r="B263" s="94">
        <v>45959</v>
      </c>
      <c r="C263" s="28">
        <v>92</v>
      </c>
      <c r="D263" s="286"/>
      <c r="E263" s="27"/>
      <c r="F263" s="28" t="s">
        <v>536</v>
      </c>
      <c r="G263" s="188" t="s">
        <v>436</v>
      </c>
      <c r="H263" s="30">
        <v>92</v>
      </c>
      <c r="I263" s="188" t="s">
        <v>436</v>
      </c>
      <c r="J263" s="30" t="s">
        <v>469</v>
      </c>
      <c r="K263" s="188" t="s">
        <v>436</v>
      </c>
      <c r="L263" s="30" t="s">
        <v>535</v>
      </c>
      <c r="M263" s="30">
        <v>92</v>
      </c>
      <c r="N263" s="75" t="str">
        <f>IF(M263=C263,"-","")</f>
        <v>-</v>
      </c>
      <c r="Z263" s="82" t="str">
        <f>IF(SUM(M263,N263)=C263,"DONE"," ")</f>
        <v>DONE</v>
      </c>
      <c r="AA263" s="92">
        <v>45960</v>
      </c>
      <c r="AB263" s="1"/>
      <c r="AC263" t="s">
        <v>558</v>
      </c>
      <c r="AE263" s="101"/>
    </row>
    <row r="264" spans="1:39">
      <c r="A264" s="26">
        <v>277</v>
      </c>
      <c r="B264" s="94">
        <v>45959</v>
      </c>
      <c r="C264" s="28">
        <v>92</v>
      </c>
      <c r="D264" s="286"/>
      <c r="E264" s="27"/>
      <c r="F264" s="28" t="s">
        <v>519</v>
      </c>
      <c r="G264" s="188" t="s">
        <v>436</v>
      </c>
      <c r="H264" s="30">
        <v>92</v>
      </c>
      <c r="I264" s="188" t="s">
        <v>436</v>
      </c>
      <c r="J264" s="30" t="s">
        <v>469</v>
      </c>
      <c r="K264" s="188" t="s">
        <v>436</v>
      </c>
      <c r="L264" s="30" t="s">
        <v>535</v>
      </c>
      <c r="M264" s="30">
        <v>92</v>
      </c>
      <c r="N264" s="75" t="str">
        <f>IF(M264=C264,"-","")</f>
        <v>-</v>
      </c>
      <c r="Z264" s="82" t="str">
        <f>IF(SUM(M264,N264)=C264,"DONE"," ")</f>
        <v>DONE</v>
      </c>
      <c r="AA264" s="92">
        <v>45960</v>
      </c>
      <c r="AB264" s="1"/>
      <c r="AC264" t="s">
        <v>558</v>
      </c>
      <c r="AE264" s="101"/>
    </row>
    <row r="265" spans="1:39">
      <c r="A265" s="26" t="s">
        <v>559</v>
      </c>
      <c r="B265" s="94">
        <v>45960</v>
      </c>
      <c r="C265" s="28">
        <v>12</v>
      </c>
      <c r="D265" s="286"/>
      <c r="E265" s="27"/>
      <c r="F265" s="28" t="s">
        <v>469</v>
      </c>
      <c r="G265" s="188" t="s">
        <v>436</v>
      </c>
      <c r="H265" s="30">
        <v>12</v>
      </c>
      <c r="I265" s="188" t="s">
        <v>436</v>
      </c>
      <c r="J265" s="30" t="s">
        <v>469</v>
      </c>
      <c r="K265" s="188" t="s">
        <v>436</v>
      </c>
      <c r="L265" s="30" t="s">
        <v>535</v>
      </c>
      <c r="M265" s="30">
        <v>10</v>
      </c>
      <c r="N265" s="75">
        <v>2</v>
      </c>
      <c r="Z265" s="82" t="str">
        <f>IF(SUM(M265,N265)=C265,"DONE"," ")</f>
        <v>DONE</v>
      </c>
      <c r="AA265" s="92">
        <v>45960</v>
      </c>
      <c r="AB265" s="92">
        <v>45961</v>
      </c>
      <c r="AC265" t="s">
        <v>560</v>
      </c>
      <c r="AE265" s="101"/>
    </row>
    <row r="266" spans="1:39">
      <c r="A266" s="26" t="s">
        <v>561</v>
      </c>
      <c r="B266" s="94">
        <v>45960</v>
      </c>
      <c r="C266" s="28">
        <v>90</v>
      </c>
      <c r="D266" s="286"/>
      <c r="E266" s="27"/>
      <c r="F266" s="28" t="s">
        <v>470</v>
      </c>
      <c r="G266" s="188" t="s">
        <v>436</v>
      </c>
      <c r="H266" s="30">
        <v>90</v>
      </c>
      <c r="I266" s="188" t="s">
        <v>436</v>
      </c>
      <c r="J266" s="30" t="s">
        <v>469</v>
      </c>
      <c r="K266" s="188" t="s">
        <v>436</v>
      </c>
      <c r="L266" s="30" t="s">
        <v>535</v>
      </c>
      <c r="M266" s="30">
        <v>88</v>
      </c>
      <c r="N266" s="75">
        <v>2</v>
      </c>
      <c r="Z266" s="82" t="str">
        <f>IF(SUM(M266,N266)=C266,"DONE"," ")</f>
        <v>DONE</v>
      </c>
      <c r="AA266" s="93">
        <v>45964</v>
      </c>
      <c r="AB266" s="108">
        <v>46052</v>
      </c>
      <c r="AC266" t="s">
        <v>512</v>
      </c>
      <c r="AE266" s="101"/>
    </row>
    <row r="267" spans="1:39">
      <c r="A267" s="26">
        <v>279</v>
      </c>
      <c r="B267" s="94">
        <v>45961</v>
      </c>
      <c r="C267" s="28">
        <v>90</v>
      </c>
      <c r="D267" s="286"/>
      <c r="E267" s="27"/>
      <c r="F267" s="28" t="s">
        <v>540</v>
      </c>
      <c r="G267" s="188" t="s">
        <v>436</v>
      </c>
      <c r="H267" s="30">
        <v>90</v>
      </c>
      <c r="I267" s="188" t="s">
        <v>436</v>
      </c>
      <c r="J267" s="30" t="s">
        <v>469</v>
      </c>
      <c r="K267" s="188" t="s">
        <v>436</v>
      </c>
      <c r="L267" s="30" t="s">
        <v>535</v>
      </c>
      <c r="M267" s="30">
        <v>90</v>
      </c>
      <c r="N267" s="75" t="str">
        <f>IF(M267=C267,"-","")</f>
        <v>-</v>
      </c>
      <c r="Z267" s="82" t="str">
        <f>IF(SUM(M267,N267)=C267,"DONE"," ")</f>
        <v>DONE</v>
      </c>
      <c r="AA267" s="106">
        <v>45965</v>
      </c>
      <c r="AB267" s="1"/>
      <c r="AC267" t="s">
        <v>512</v>
      </c>
      <c r="AE267" s="101"/>
    </row>
    <row r="268" spans="1:39">
      <c r="A268" s="26">
        <v>280</v>
      </c>
      <c r="B268" s="94">
        <v>45961</v>
      </c>
      <c r="C268" s="28">
        <v>90</v>
      </c>
      <c r="D268" s="286"/>
      <c r="E268" s="27"/>
      <c r="F268" s="28" t="s">
        <v>470</v>
      </c>
      <c r="G268" s="188" t="s">
        <v>436</v>
      </c>
      <c r="H268" s="30">
        <v>90</v>
      </c>
      <c r="I268" s="188" t="s">
        <v>436</v>
      </c>
      <c r="J268" s="30" t="s">
        <v>469</v>
      </c>
      <c r="K268" s="188" t="s">
        <v>436</v>
      </c>
      <c r="L268" s="30" t="s">
        <v>535</v>
      </c>
      <c r="M268" s="30">
        <v>83</v>
      </c>
      <c r="N268" s="75">
        <v>7</v>
      </c>
      <c r="Z268" s="82" t="str">
        <f>IF(SUM(M268,N268)=C268,"DONE"," ")</f>
        <v>DONE</v>
      </c>
      <c r="AA268" s="93">
        <v>45965</v>
      </c>
      <c r="AB268" s="108">
        <v>46052</v>
      </c>
      <c r="AC268" t="s">
        <v>512</v>
      </c>
      <c r="AE268" s="101"/>
      <c r="AM268" s="120"/>
    </row>
    <row r="269" spans="1:39">
      <c r="A269" s="26">
        <v>281</v>
      </c>
      <c r="B269" s="94">
        <v>45961</v>
      </c>
      <c r="C269" s="28">
        <v>90</v>
      </c>
      <c r="D269" s="286"/>
      <c r="E269" s="27"/>
      <c r="F269" s="28" t="s">
        <v>540</v>
      </c>
      <c r="G269" s="188" t="s">
        <v>436</v>
      </c>
      <c r="H269" s="30">
        <v>90</v>
      </c>
      <c r="I269" s="188" t="s">
        <v>436</v>
      </c>
      <c r="J269" s="30" t="s">
        <v>469</v>
      </c>
      <c r="K269" s="188" t="s">
        <v>436</v>
      </c>
      <c r="L269" s="30" t="s">
        <v>535</v>
      </c>
      <c r="M269" s="30">
        <v>89</v>
      </c>
      <c r="N269" s="75">
        <v>1</v>
      </c>
      <c r="Z269" s="82" t="str">
        <f>IF(SUM(M269,N269)=C269,"DONE"," ")</f>
        <v>DONE</v>
      </c>
      <c r="AA269" s="93">
        <v>45967</v>
      </c>
      <c r="AB269" s="108">
        <v>46037</v>
      </c>
      <c r="AC269" t="s">
        <v>512</v>
      </c>
      <c r="AE269" s="101"/>
      <c r="AM269" s="120"/>
    </row>
    <row r="270" spans="1:39">
      <c r="A270" s="26">
        <v>282</v>
      </c>
      <c r="B270" s="94">
        <v>45962</v>
      </c>
      <c r="C270" s="28">
        <v>90</v>
      </c>
      <c r="D270" s="286"/>
      <c r="E270" s="27"/>
      <c r="F270" s="28" t="s">
        <v>473</v>
      </c>
      <c r="G270" s="188" t="s">
        <v>436</v>
      </c>
      <c r="H270" s="30">
        <v>90</v>
      </c>
      <c r="I270" s="188" t="s">
        <v>436</v>
      </c>
      <c r="J270" s="30" t="s">
        <v>469</v>
      </c>
      <c r="K270" s="188" t="s">
        <v>436</v>
      </c>
      <c r="L270" s="30" t="s">
        <v>535</v>
      </c>
      <c r="M270" s="30">
        <v>87</v>
      </c>
      <c r="N270" s="75" t="str">
        <f>IF(M270=C270,"-","")</f>
        <v/>
      </c>
      <c r="Z270" s="82" t="str">
        <f>IF(SUM(M270,N270)=C270,"DONE"," ")</f>
        <v xml:space="preserve"> </v>
      </c>
      <c r="AA270" s="93">
        <v>45968</v>
      </c>
      <c r="AB270" s="1"/>
      <c r="AC270" t="s">
        <v>512</v>
      </c>
      <c r="AE270" s="101"/>
      <c r="AM270" s="120"/>
    </row>
    <row r="271" spans="1:39">
      <c r="A271" s="26">
        <v>284</v>
      </c>
      <c r="B271" s="94">
        <v>45962</v>
      </c>
      <c r="C271" s="28">
        <v>90</v>
      </c>
      <c r="D271" s="286"/>
      <c r="E271" s="27"/>
      <c r="F271" s="28" t="s">
        <v>470</v>
      </c>
      <c r="G271" s="188" t="s">
        <v>436</v>
      </c>
      <c r="H271" s="30">
        <v>90</v>
      </c>
      <c r="I271" s="188" t="s">
        <v>436</v>
      </c>
      <c r="J271" s="30" t="s">
        <v>469</v>
      </c>
      <c r="K271" s="188" t="s">
        <v>436</v>
      </c>
      <c r="L271" s="30" t="s">
        <v>535</v>
      </c>
      <c r="M271" s="30">
        <v>87</v>
      </c>
      <c r="N271" s="75">
        <v>3</v>
      </c>
      <c r="Z271" s="82" t="str">
        <f>IF(SUM(M271,N271)=C271,"DONE"," ")</f>
        <v>DONE</v>
      </c>
      <c r="AA271" s="93">
        <v>45967</v>
      </c>
      <c r="AB271" s="108">
        <v>46037</v>
      </c>
      <c r="AC271" t="s">
        <v>512</v>
      </c>
      <c r="AE271" s="101"/>
      <c r="AM271" s="120"/>
    </row>
    <row r="272" spans="1:39">
      <c r="A272" s="26">
        <v>285</v>
      </c>
      <c r="B272" s="94">
        <v>45964</v>
      </c>
      <c r="C272" s="28">
        <v>90</v>
      </c>
      <c r="D272" s="286"/>
      <c r="E272" s="27"/>
      <c r="F272" s="28" t="s">
        <v>473</v>
      </c>
      <c r="G272" s="188" t="s">
        <v>436</v>
      </c>
      <c r="H272" s="30">
        <v>90</v>
      </c>
      <c r="I272" s="188" t="s">
        <v>436</v>
      </c>
      <c r="J272" s="30" t="s">
        <v>469</v>
      </c>
      <c r="K272" s="188" t="s">
        <v>436</v>
      </c>
      <c r="L272" s="30" t="s">
        <v>535</v>
      </c>
      <c r="M272" s="30">
        <v>88</v>
      </c>
      <c r="N272" s="75" t="str">
        <f>IF(M272=C272,"-","")</f>
        <v/>
      </c>
      <c r="Z272" s="82" t="str">
        <f>IF(SUM(M272,N272)=C272,"DONE"," ")</f>
        <v xml:space="preserve"> </v>
      </c>
      <c r="AA272" s="93">
        <v>45967</v>
      </c>
      <c r="AB272" s="1"/>
      <c r="AC272" t="s">
        <v>512</v>
      </c>
      <c r="AE272" s="101"/>
      <c r="AM272" s="120"/>
    </row>
    <row r="273" spans="1:39">
      <c r="A273" s="26">
        <v>286</v>
      </c>
      <c r="B273" s="94">
        <v>45964</v>
      </c>
      <c r="C273" s="28">
        <v>90</v>
      </c>
      <c r="D273" s="286"/>
      <c r="E273" s="27"/>
      <c r="F273" s="28" t="s">
        <v>470</v>
      </c>
      <c r="G273" s="188" t="s">
        <v>436</v>
      </c>
      <c r="H273" s="30">
        <v>90</v>
      </c>
      <c r="I273" s="188" t="s">
        <v>436</v>
      </c>
      <c r="J273" s="30" t="s">
        <v>469</v>
      </c>
      <c r="K273" s="188" t="s">
        <v>436</v>
      </c>
      <c r="L273" s="30" t="s">
        <v>535</v>
      </c>
      <c r="M273" s="30">
        <v>86</v>
      </c>
      <c r="N273" s="75" t="str">
        <f>IF(M273=C273,"-","")</f>
        <v/>
      </c>
      <c r="Z273" s="82" t="str">
        <f>IF(SUM(M273,N273)=C273,"DONE"," ")</f>
        <v xml:space="preserve"> </v>
      </c>
      <c r="AA273" s="93">
        <v>45967</v>
      </c>
      <c r="AB273" s="1"/>
      <c r="AC273" t="s">
        <v>512</v>
      </c>
      <c r="AE273" s="101"/>
      <c r="AM273" s="120"/>
    </row>
    <row r="274" spans="1:39">
      <c r="A274" s="26">
        <v>287</v>
      </c>
      <c r="B274" s="94">
        <v>45965</v>
      </c>
      <c r="C274" s="28">
        <v>90</v>
      </c>
      <c r="D274" s="286"/>
      <c r="E274" s="27"/>
      <c r="F274" s="28" t="s">
        <v>540</v>
      </c>
      <c r="G274" s="188" t="s">
        <v>436</v>
      </c>
      <c r="H274" s="30">
        <v>90</v>
      </c>
      <c r="I274" s="188" t="s">
        <v>436</v>
      </c>
      <c r="J274" s="30" t="s">
        <v>469</v>
      </c>
      <c r="K274" s="188" t="s">
        <v>436</v>
      </c>
      <c r="L274" s="30" t="s">
        <v>535</v>
      </c>
      <c r="M274" s="30">
        <v>81</v>
      </c>
      <c r="N274" s="75" t="str">
        <f>IF(M274=C274,"-","")</f>
        <v/>
      </c>
      <c r="Z274" s="82" t="str">
        <f>IF(SUM(M274,N274)=C274,"DONE"," ")</f>
        <v xml:space="preserve"> </v>
      </c>
      <c r="AA274" s="93">
        <v>45968</v>
      </c>
      <c r="AB274" s="1"/>
      <c r="AC274" t="s">
        <v>512</v>
      </c>
      <c r="AE274" s="101"/>
      <c r="AM274" s="120"/>
    </row>
    <row r="275" spans="1:39">
      <c r="A275" s="26">
        <v>288</v>
      </c>
      <c r="B275" s="94">
        <v>45965</v>
      </c>
      <c r="C275" s="28">
        <v>90</v>
      </c>
      <c r="D275" s="286"/>
      <c r="E275" s="27"/>
      <c r="F275" s="28" t="s">
        <v>473</v>
      </c>
      <c r="G275" s="188" t="s">
        <v>436</v>
      </c>
      <c r="H275" s="30">
        <v>90</v>
      </c>
      <c r="I275" s="188" t="s">
        <v>436</v>
      </c>
      <c r="J275" s="30" t="s">
        <v>469</v>
      </c>
      <c r="K275" s="188" t="s">
        <v>436</v>
      </c>
      <c r="L275" s="30" t="s">
        <v>535</v>
      </c>
      <c r="M275" s="30">
        <v>90</v>
      </c>
      <c r="N275" s="75" t="str">
        <f>IF(M275=C275,"-","")</f>
        <v>-</v>
      </c>
      <c r="Z275" s="82" t="str">
        <f>IF(SUM(M275,N275)=C275,"DONE"," ")</f>
        <v>DONE</v>
      </c>
      <c r="AA275" s="92">
        <v>45967</v>
      </c>
      <c r="AB275" s="1"/>
      <c r="AC275" t="s">
        <v>512</v>
      </c>
      <c r="AE275" s="101"/>
      <c r="AM275" s="120"/>
    </row>
    <row r="276" spans="1:39">
      <c r="A276" s="26">
        <v>290</v>
      </c>
      <c r="B276" s="94">
        <v>45966</v>
      </c>
      <c r="C276" s="28">
        <v>90</v>
      </c>
      <c r="D276" s="286"/>
      <c r="E276" s="27"/>
      <c r="F276" s="28" t="s">
        <v>470</v>
      </c>
      <c r="G276" s="188" t="s">
        <v>436</v>
      </c>
      <c r="H276" s="30">
        <v>90</v>
      </c>
      <c r="I276" s="188" t="s">
        <v>436</v>
      </c>
      <c r="J276" s="30" t="s">
        <v>469</v>
      </c>
      <c r="K276" s="188" t="s">
        <v>436</v>
      </c>
      <c r="L276" s="30" t="s">
        <v>535</v>
      </c>
      <c r="M276" s="30">
        <v>84</v>
      </c>
      <c r="N276" s="75">
        <v>6</v>
      </c>
      <c r="Z276" s="82" t="str">
        <f>IF(SUM(M276,N276)=C276,"DONE"," ")</f>
        <v>DONE</v>
      </c>
      <c r="AA276" s="93">
        <v>45968</v>
      </c>
      <c r="AB276" s="108">
        <v>46037</v>
      </c>
      <c r="AC276" t="s">
        <v>512</v>
      </c>
      <c r="AE276" s="101"/>
      <c r="AM276" s="120"/>
    </row>
    <row r="277" spans="1:39">
      <c r="A277" s="26">
        <v>291</v>
      </c>
      <c r="B277" s="94">
        <v>45967</v>
      </c>
      <c r="C277" s="28">
        <v>90</v>
      </c>
      <c r="D277" s="286"/>
      <c r="E277" s="27"/>
      <c r="F277" s="28" t="s">
        <v>540</v>
      </c>
      <c r="G277" s="188" t="s">
        <v>436</v>
      </c>
      <c r="H277" s="30">
        <v>90</v>
      </c>
      <c r="I277" s="188" t="s">
        <v>436</v>
      </c>
      <c r="J277" s="30" t="s">
        <v>472</v>
      </c>
      <c r="K277" s="188" t="s">
        <v>436</v>
      </c>
      <c r="L277" s="30" t="s">
        <v>535</v>
      </c>
      <c r="M277" s="30">
        <v>82</v>
      </c>
      <c r="N277" s="75">
        <v>8</v>
      </c>
      <c r="Z277" s="82" t="str">
        <f>IF(SUM(M277,N277)=C277,"DONE"," ")</f>
        <v>DONE</v>
      </c>
      <c r="AA277" s="93">
        <v>45971</v>
      </c>
      <c r="AB277" s="108">
        <v>46037</v>
      </c>
      <c r="AC277" t="s">
        <v>512</v>
      </c>
      <c r="AE277" s="101"/>
      <c r="AM277" s="120"/>
    </row>
    <row r="278" spans="1:39">
      <c r="A278" s="26">
        <v>289</v>
      </c>
      <c r="B278" s="94">
        <v>45967</v>
      </c>
      <c r="C278" s="28">
        <v>90</v>
      </c>
      <c r="D278" s="286"/>
      <c r="E278" s="27"/>
      <c r="F278" s="28" t="s">
        <v>470</v>
      </c>
      <c r="G278" s="188" t="s">
        <v>436</v>
      </c>
      <c r="H278" s="30">
        <v>90</v>
      </c>
      <c r="I278" s="188" t="s">
        <v>436</v>
      </c>
      <c r="J278" s="30" t="s">
        <v>472</v>
      </c>
      <c r="K278" s="188" t="s">
        <v>436</v>
      </c>
      <c r="L278" s="30" t="s">
        <v>535</v>
      </c>
      <c r="M278" s="30">
        <v>87</v>
      </c>
      <c r="N278" s="75" t="str">
        <f>IF(M278=C278,"-","")</f>
        <v/>
      </c>
      <c r="Z278" s="82" t="str">
        <f>IF(SUM(M278,N278)=C278,"DONE"," ")</f>
        <v xml:space="preserve"> </v>
      </c>
      <c r="AA278" s="93">
        <v>45971</v>
      </c>
      <c r="AB278" s="1"/>
      <c r="AC278" t="s">
        <v>512</v>
      </c>
      <c r="AE278" s="101"/>
      <c r="AM278" s="120"/>
    </row>
    <row r="279" spans="1:39">
      <c r="A279" s="26">
        <v>292</v>
      </c>
      <c r="B279" s="94">
        <v>45968</v>
      </c>
      <c r="C279" s="28">
        <v>90</v>
      </c>
      <c r="D279" s="286"/>
      <c r="E279" s="27"/>
      <c r="F279" s="28" t="s">
        <v>473</v>
      </c>
      <c r="G279" s="188" t="s">
        <v>436</v>
      </c>
      <c r="H279" s="30">
        <v>90</v>
      </c>
      <c r="I279" s="188" t="s">
        <v>436</v>
      </c>
      <c r="J279" s="30" t="s">
        <v>469</v>
      </c>
      <c r="K279" s="188" t="s">
        <v>436</v>
      </c>
      <c r="L279" s="30" t="s">
        <v>535</v>
      </c>
      <c r="M279" s="30">
        <v>89</v>
      </c>
      <c r="N279" s="75" t="str">
        <f>IF(M279=C279,"-","")</f>
        <v/>
      </c>
      <c r="Z279" s="82" t="str">
        <f>IF(SUM(M279,N279)=C279,"DONE"," ")</f>
        <v xml:space="preserve"> </v>
      </c>
      <c r="AA279" s="93">
        <v>45971</v>
      </c>
      <c r="AC279" t="s">
        <v>512</v>
      </c>
      <c r="AE279" s="101"/>
      <c r="AM279" s="120"/>
    </row>
    <row r="280" spans="1:39">
      <c r="A280" s="26">
        <v>294</v>
      </c>
      <c r="B280" s="94">
        <v>45968</v>
      </c>
      <c r="C280" s="28">
        <v>90</v>
      </c>
      <c r="D280" s="286"/>
      <c r="E280" s="27"/>
      <c r="F280" s="28" t="s">
        <v>470</v>
      </c>
      <c r="G280" s="188" t="s">
        <v>436</v>
      </c>
      <c r="H280" s="30">
        <v>90</v>
      </c>
      <c r="I280" s="188" t="s">
        <v>436</v>
      </c>
      <c r="J280" s="30" t="s">
        <v>469</v>
      </c>
      <c r="K280" s="188" t="s">
        <v>436</v>
      </c>
      <c r="L280" s="30" t="s">
        <v>535</v>
      </c>
      <c r="M280" s="30">
        <v>87</v>
      </c>
      <c r="N280" s="75" t="str">
        <f>IF(M280=C280,"-","")</f>
        <v/>
      </c>
      <c r="Z280" s="82" t="str">
        <f>IF(SUM(M280,N280)=C280,"DONE"," ")</f>
        <v xml:space="preserve"> </v>
      </c>
      <c r="AA280" s="108">
        <v>45972</v>
      </c>
      <c r="AC280" t="s">
        <v>512</v>
      </c>
      <c r="AE280" s="101"/>
      <c r="AM280" s="120"/>
    </row>
    <row r="281" spans="1:39">
      <c r="A281" s="26">
        <v>295</v>
      </c>
      <c r="B281" s="94">
        <v>45971</v>
      </c>
      <c r="C281" s="28">
        <v>90</v>
      </c>
      <c r="D281" s="286"/>
      <c r="E281" s="27"/>
      <c r="F281" s="28" t="s">
        <v>467</v>
      </c>
      <c r="G281" s="188" t="s">
        <v>436</v>
      </c>
      <c r="H281" s="30">
        <v>90</v>
      </c>
      <c r="I281" s="188" t="s">
        <v>436</v>
      </c>
      <c r="J281" s="30" t="s">
        <v>469</v>
      </c>
      <c r="K281" s="188" t="s">
        <v>436</v>
      </c>
      <c r="L281" s="30" t="s">
        <v>535</v>
      </c>
      <c r="M281" s="30">
        <v>85</v>
      </c>
      <c r="N281" s="75" t="str">
        <f>IF(M281=C281,"-","")</f>
        <v/>
      </c>
      <c r="Z281" s="82" t="str">
        <f>IF(SUM(M281,N281)=C281,"DONE"," ")</f>
        <v xml:space="preserve"> </v>
      </c>
      <c r="AA281" s="108">
        <v>45972</v>
      </c>
      <c r="AC281" t="s">
        <v>512</v>
      </c>
      <c r="AE281" s="101"/>
    </row>
    <row r="282" spans="1:39">
      <c r="A282" s="26">
        <v>293</v>
      </c>
      <c r="B282" s="94">
        <v>45972</v>
      </c>
      <c r="C282" s="28">
        <v>90</v>
      </c>
      <c r="D282" s="286"/>
      <c r="E282" s="27"/>
      <c r="F282" s="107" t="s">
        <v>562</v>
      </c>
      <c r="G282" s="188" t="s">
        <v>436</v>
      </c>
      <c r="H282" s="30">
        <v>90</v>
      </c>
      <c r="I282" s="188" t="s">
        <v>436</v>
      </c>
      <c r="J282" s="30" t="s">
        <v>472</v>
      </c>
      <c r="K282" s="188" t="s">
        <v>436</v>
      </c>
      <c r="L282" s="30" t="s">
        <v>535</v>
      </c>
      <c r="M282" s="30">
        <v>84</v>
      </c>
      <c r="N282" s="75">
        <v>6</v>
      </c>
      <c r="Z282" s="82" t="str">
        <f>IF(SUM(M282,N282)=C282,"DONE"," ")</f>
        <v>DONE</v>
      </c>
      <c r="AA282" s="108">
        <v>45973</v>
      </c>
      <c r="AB282" s="108">
        <v>46037</v>
      </c>
      <c r="AC282" t="s">
        <v>512</v>
      </c>
      <c r="AE282" s="101"/>
    </row>
    <row r="283" spans="1:39">
      <c r="A283" s="26">
        <v>296</v>
      </c>
      <c r="B283" s="94">
        <v>45972</v>
      </c>
      <c r="C283" s="28">
        <v>90</v>
      </c>
      <c r="D283" s="286"/>
      <c r="E283" s="27"/>
      <c r="F283" s="107" t="s">
        <v>470</v>
      </c>
      <c r="G283" s="188" t="s">
        <v>436</v>
      </c>
      <c r="H283" s="30">
        <v>90</v>
      </c>
      <c r="I283" s="188" t="s">
        <v>436</v>
      </c>
      <c r="J283" s="30" t="s">
        <v>469</v>
      </c>
      <c r="K283" s="188" t="s">
        <v>436</v>
      </c>
      <c r="L283" s="30" t="s">
        <v>535</v>
      </c>
      <c r="M283" s="30">
        <v>88</v>
      </c>
      <c r="N283" s="75">
        <v>2</v>
      </c>
      <c r="Z283" s="82" t="str">
        <f>IF(SUM(M283,N283)=C283,"DONE"," ")</f>
        <v>DONE</v>
      </c>
      <c r="AA283" s="108">
        <v>45973</v>
      </c>
      <c r="AB283" s="108">
        <v>46037</v>
      </c>
      <c r="AC283" t="s">
        <v>512</v>
      </c>
      <c r="AE283" s="101"/>
    </row>
    <row r="284" spans="1:39" s="101" customFormat="1">
      <c r="A284" s="176" t="s">
        <v>563</v>
      </c>
      <c r="B284" s="166">
        <v>45973</v>
      </c>
      <c r="C284" s="167">
        <v>90</v>
      </c>
      <c r="D284" s="288"/>
      <c r="E284" s="165"/>
      <c r="F284" s="167" t="s">
        <v>470</v>
      </c>
      <c r="G284" s="188" t="s">
        <v>436</v>
      </c>
      <c r="H284" s="168">
        <v>90</v>
      </c>
      <c r="I284" s="188" t="s">
        <v>436</v>
      </c>
      <c r="J284" s="168" t="s">
        <v>469</v>
      </c>
      <c r="K284" s="188" t="s">
        <v>436</v>
      </c>
      <c r="L284" s="168" t="s">
        <v>535</v>
      </c>
      <c r="M284" s="168">
        <v>89</v>
      </c>
      <c r="N284" s="157" t="str">
        <f>IF(M284=C284,"-","")</f>
        <v/>
      </c>
      <c r="O284" s="168"/>
      <c r="P284" s="196"/>
      <c r="Q284" s="196"/>
      <c r="R284" s="196"/>
      <c r="S284" s="165"/>
      <c r="T284" s="167"/>
      <c r="U284" s="167"/>
      <c r="V284" s="167"/>
      <c r="W284" s="167"/>
      <c r="X284" s="167"/>
      <c r="Y284" s="197"/>
      <c r="Z284" s="158" t="str">
        <f>IF(SUM(M284,N284)=C284,"DONE"," ")</f>
        <v xml:space="preserve"> </v>
      </c>
      <c r="AA284" s="198">
        <v>45989</v>
      </c>
      <c r="AC284" s="101" t="s">
        <v>555</v>
      </c>
      <c r="AD284" s="124" t="s">
        <v>564</v>
      </c>
      <c r="AE284" s="101" t="s">
        <v>565</v>
      </c>
      <c r="AI284"/>
    </row>
    <row r="285" spans="1:39">
      <c r="A285" s="26">
        <v>297</v>
      </c>
      <c r="B285" s="94">
        <v>45973</v>
      </c>
      <c r="C285" s="28">
        <v>90</v>
      </c>
      <c r="D285" s="286"/>
      <c r="E285" s="27"/>
      <c r="F285" s="28" t="s">
        <v>467</v>
      </c>
      <c r="G285" s="188" t="s">
        <v>436</v>
      </c>
      <c r="H285" s="30">
        <v>90</v>
      </c>
      <c r="I285" s="188" t="s">
        <v>436</v>
      </c>
      <c r="J285" s="30" t="s">
        <v>472</v>
      </c>
      <c r="K285" s="188" t="s">
        <v>436</v>
      </c>
      <c r="L285" s="30" t="s">
        <v>535</v>
      </c>
      <c r="M285" s="30">
        <v>89</v>
      </c>
      <c r="N285" s="75" t="str">
        <f>IF(M285=C285,"-","")</f>
        <v/>
      </c>
      <c r="Z285" s="82" t="str">
        <f>IF(SUM(M285,N285)=C285,"DONE"," ")</f>
        <v xml:space="preserve"> </v>
      </c>
      <c r="AA285" s="108">
        <v>45974</v>
      </c>
      <c r="AC285" t="s">
        <v>512</v>
      </c>
      <c r="AE285" s="101"/>
    </row>
    <row r="286" spans="1:39">
      <c r="A286" s="26">
        <v>298</v>
      </c>
      <c r="B286" s="94">
        <v>45974</v>
      </c>
      <c r="C286" s="28">
        <v>90</v>
      </c>
      <c r="D286" s="286"/>
      <c r="E286" s="27"/>
      <c r="F286" s="28" t="s">
        <v>562</v>
      </c>
      <c r="G286" s="188" t="s">
        <v>436</v>
      </c>
      <c r="H286" s="30">
        <v>90</v>
      </c>
      <c r="I286" s="188" t="s">
        <v>436</v>
      </c>
      <c r="J286" s="30" t="s">
        <v>469</v>
      </c>
      <c r="K286" s="188" t="s">
        <v>436</v>
      </c>
      <c r="L286" s="30" t="s">
        <v>535</v>
      </c>
      <c r="M286" s="30">
        <v>90</v>
      </c>
      <c r="N286" s="75" t="str">
        <f>IF(M286=C286,"-","")</f>
        <v>-</v>
      </c>
      <c r="Z286" s="82" t="str">
        <f>IF(SUM(M286,N286)=C286,"DONE"," ")</f>
        <v>DONE</v>
      </c>
      <c r="AA286" s="108">
        <v>45975</v>
      </c>
      <c r="AC286" t="s">
        <v>512</v>
      </c>
      <c r="AE286" s="101"/>
    </row>
    <row r="287" spans="1:39">
      <c r="A287" s="26">
        <v>299</v>
      </c>
      <c r="B287" s="94">
        <v>45974</v>
      </c>
      <c r="C287" s="28">
        <v>90</v>
      </c>
      <c r="D287" s="286"/>
      <c r="E287" s="27"/>
      <c r="F287" s="28" t="s">
        <v>478</v>
      </c>
      <c r="G287" s="188" t="s">
        <v>436</v>
      </c>
      <c r="H287" s="30">
        <v>90</v>
      </c>
      <c r="I287" s="188" t="s">
        <v>436</v>
      </c>
      <c r="J287" s="30" t="s">
        <v>472</v>
      </c>
      <c r="K287" s="188" t="s">
        <v>436</v>
      </c>
      <c r="L287" s="30" t="s">
        <v>535</v>
      </c>
      <c r="M287" s="30">
        <v>87</v>
      </c>
      <c r="N287" s="75" t="str">
        <f>IF(M287=C287,"-","")</f>
        <v/>
      </c>
      <c r="Z287" s="82" t="str">
        <f>IF(SUM(M287,N287)=C287,"DONE"," ")</f>
        <v xml:space="preserve"> </v>
      </c>
      <c r="AA287" s="108">
        <v>45974</v>
      </c>
      <c r="AC287" t="s">
        <v>512</v>
      </c>
      <c r="AE287" s="101"/>
    </row>
    <row r="288" spans="1:39">
      <c r="A288" s="26">
        <v>300</v>
      </c>
      <c r="B288" s="94">
        <v>45975</v>
      </c>
      <c r="C288" s="28">
        <v>90</v>
      </c>
      <c r="D288" s="286"/>
      <c r="E288" s="27"/>
      <c r="F288" s="28" t="s">
        <v>540</v>
      </c>
      <c r="G288" s="188" t="s">
        <v>436</v>
      </c>
      <c r="H288" s="30">
        <v>90</v>
      </c>
      <c r="I288" s="188" t="s">
        <v>436</v>
      </c>
      <c r="J288" s="30" t="s">
        <v>472</v>
      </c>
      <c r="K288" s="188" t="s">
        <v>436</v>
      </c>
      <c r="L288" s="30" t="s">
        <v>535</v>
      </c>
      <c r="M288" s="30">
        <v>89</v>
      </c>
      <c r="N288" s="75" t="str">
        <f>IF(M288=C288,"-","")</f>
        <v/>
      </c>
      <c r="Z288" s="82" t="str">
        <f>IF(SUM(M288,N288)=C288,"DONE"," ")</f>
        <v xml:space="preserve"> </v>
      </c>
      <c r="AA288" s="108">
        <v>45979</v>
      </c>
      <c r="AC288" t="s">
        <v>512</v>
      </c>
      <c r="AE288" s="101"/>
    </row>
    <row r="289" spans="1:35">
      <c r="A289" s="26">
        <v>301</v>
      </c>
      <c r="B289" s="94">
        <v>45975</v>
      </c>
      <c r="C289" s="28">
        <v>90</v>
      </c>
      <c r="D289" s="286"/>
      <c r="E289" s="27"/>
      <c r="F289" s="28" t="s">
        <v>473</v>
      </c>
      <c r="G289" s="188" t="s">
        <v>436</v>
      </c>
      <c r="H289" s="30">
        <v>90</v>
      </c>
      <c r="I289" s="188" t="s">
        <v>436</v>
      </c>
      <c r="J289" s="30" t="s">
        <v>469</v>
      </c>
      <c r="K289" s="188" t="s">
        <v>436</v>
      </c>
      <c r="L289" s="30" t="s">
        <v>535</v>
      </c>
      <c r="M289" s="30">
        <v>89</v>
      </c>
      <c r="N289" s="75">
        <v>1</v>
      </c>
      <c r="Z289" s="82" t="str">
        <f>IF(SUM(M289,N289)=C289,"DONE"," ")</f>
        <v>DONE</v>
      </c>
      <c r="AA289" s="108">
        <v>45975</v>
      </c>
      <c r="AB289" s="108">
        <v>46037</v>
      </c>
      <c r="AC289" t="s">
        <v>512</v>
      </c>
      <c r="AE289" s="101"/>
    </row>
    <row r="290" spans="1:35">
      <c r="A290" s="26">
        <v>302</v>
      </c>
      <c r="B290" s="94">
        <v>45975</v>
      </c>
      <c r="C290" s="28">
        <v>90</v>
      </c>
      <c r="D290" s="286"/>
      <c r="E290" s="27"/>
      <c r="F290" s="28" t="s">
        <v>470</v>
      </c>
      <c r="G290" s="188" t="s">
        <v>436</v>
      </c>
      <c r="H290" s="30">
        <v>90</v>
      </c>
      <c r="I290" s="188" t="s">
        <v>436</v>
      </c>
      <c r="J290" s="30" t="s">
        <v>469</v>
      </c>
      <c r="K290" s="188" t="s">
        <v>436</v>
      </c>
      <c r="L290" s="30" t="s">
        <v>535</v>
      </c>
      <c r="M290" s="30">
        <v>88</v>
      </c>
      <c r="N290" s="75" t="str">
        <f>IF(M290=C290,"-","")</f>
        <v/>
      </c>
      <c r="Z290" s="82" t="str">
        <f>IF(SUM(M290,N290)=C290,"DONE"," ")</f>
        <v xml:space="preserve"> </v>
      </c>
      <c r="AA290" s="108">
        <v>45979</v>
      </c>
      <c r="AC290" t="s">
        <v>512</v>
      </c>
      <c r="AE290" s="101"/>
    </row>
    <row r="291" spans="1:35">
      <c r="A291" s="26">
        <v>304</v>
      </c>
      <c r="B291" s="94">
        <v>45978</v>
      </c>
      <c r="C291" s="28">
        <v>90</v>
      </c>
      <c r="D291" s="286"/>
      <c r="E291" s="27"/>
      <c r="F291" s="28" t="s">
        <v>562</v>
      </c>
      <c r="G291" s="188" t="s">
        <v>436</v>
      </c>
      <c r="H291" s="30">
        <v>90</v>
      </c>
      <c r="I291" s="188" t="s">
        <v>436</v>
      </c>
      <c r="J291" s="30" t="s">
        <v>469</v>
      </c>
      <c r="K291" s="188" t="s">
        <v>436</v>
      </c>
      <c r="L291" s="30" t="s">
        <v>535</v>
      </c>
      <c r="M291" s="30">
        <v>88</v>
      </c>
      <c r="N291" s="75" t="str">
        <f>IF(M291=C291,"-","")</f>
        <v/>
      </c>
      <c r="Z291" s="82" t="str">
        <f>IF(SUM(M291,N291)=C291,"DONE"," ")</f>
        <v xml:space="preserve"> </v>
      </c>
      <c r="AA291" s="108">
        <v>45980</v>
      </c>
      <c r="AC291" t="s">
        <v>512</v>
      </c>
      <c r="AE291" s="101"/>
    </row>
    <row r="292" spans="1:35">
      <c r="A292" s="26">
        <v>305</v>
      </c>
      <c r="B292" s="94">
        <v>45978</v>
      </c>
      <c r="C292" s="28">
        <v>90</v>
      </c>
      <c r="D292" s="286"/>
      <c r="E292" s="27"/>
      <c r="F292" s="28" t="s">
        <v>470</v>
      </c>
      <c r="G292" s="188" t="s">
        <v>436</v>
      </c>
      <c r="H292" s="30">
        <v>90</v>
      </c>
      <c r="I292" s="188" t="s">
        <v>436</v>
      </c>
      <c r="J292" s="30" t="s">
        <v>469</v>
      </c>
      <c r="K292" s="188" t="s">
        <v>436</v>
      </c>
      <c r="L292" s="30" t="s">
        <v>535</v>
      </c>
      <c r="M292" s="30">
        <v>87</v>
      </c>
      <c r="N292" s="75" t="str">
        <f>IF(M292=C292,"-","")</f>
        <v/>
      </c>
      <c r="Z292" s="82" t="str">
        <f>IF(SUM(M292,N292)=C292,"DONE"," ")</f>
        <v xml:space="preserve"> </v>
      </c>
      <c r="AA292" s="108">
        <v>45979</v>
      </c>
      <c r="AC292" t="s">
        <v>512</v>
      </c>
      <c r="AE292" s="101"/>
    </row>
    <row r="293" spans="1:35">
      <c r="A293" s="26">
        <v>306</v>
      </c>
      <c r="B293" s="94">
        <v>45978</v>
      </c>
      <c r="C293" s="28">
        <v>90</v>
      </c>
      <c r="D293" s="286"/>
      <c r="E293" s="27"/>
      <c r="F293" s="28" t="s">
        <v>472</v>
      </c>
      <c r="G293" s="188" t="s">
        <v>436</v>
      </c>
      <c r="H293" s="30">
        <v>90</v>
      </c>
      <c r="I293" s="188" t="s">
        <v>436</v>
      </c>
      <c r="J293" s="30" t="s">
        <v>472</v>
      </c>
      <c r="K293" s="188" t="s">
        <v>436</v>
      </c>
      <c r="L293" s="30" t="s">
        <v>535</v>
      </c>
      <c r="M293" s="30">
        <v>86</v>
      </c>
      <c r="N293" s="75" t="str">
        <f>IF(M293=C293,"-","")</f>
        <v/>
      </c>
      <c r="Z293" s="82" t="str">
        <f>IF(SUM(M293,N293)=C293,"DONE"," ")</f>
        <v xml:space="preserve"> </v>
      </c>
      <c r="AA293" s="108">
        <v>45979</v>
      </c>
      <c r="AC293" t="s">
        <v>512</v>
      </c>
      <c r="AE293" s="101"/>
    </row>
    <row r="294" spans="1:35">
      <c r="A294" s="26">
        <v>307</v>
      </c>
      <c r="B294" s="94">
        <v>45978</v>
      </c>
      <c r="C294" s="28">
        <v>90</v>
      </c>
      <c r="D294" s="286"/>
      <c r="E294" s="27"/>
      <c r="F294" s="28" t="s">
        <v>562</v>
      </c>
      <c r="G294" s="188" t="s">
        <v>436</v>
      </c>
      <c r="H294" s="30">
        <v>90</v>
      </c>
      <c r="I294" s="188" t="s">
        <v>436</v>
      </c>
      <c r="J294" s="30" t="s">
        <v>469</v>
      </c>
      <c r="K294" s="188" t="s">
        <v>436</v>
      </c>
      <c r="L294" s="30" t="s">
        <v>535</v>
      </c>
      <c r="M294" s="30">
        <v>85</v>
      </c>
      <c r="N294" s="75" t="str">
        <f>IF(M294=C294,"-","")</f>
        <v/>
      </c>
      <c r="Z294" s="82" t="str">
        <f>IF(SUM(M294,N294)=C294,"DONE"," ")</f>
        <v xml:space="preserve"> </v>
      </c>
      <c r="AA294" s="108">
        <v>45980</v>
      </c>
      <c r="AC294" t="s">
        <v>512</v>
      </c>
      <c r="AE294" s="101"/>
    </row>
    <row r="295" spans="1:35" s="101" customFormat="1">
      <c r="A295" s="176" t="s">
        <v>566</v>
      </c>
      <c r="B295" s="166">
        <v>45978</v>
      </c>
      <c r="C295" s="167">
        <v>90</v>
      </c>
      <c r="D295" s="288"/>
      <c r="E295" s="165"/>
      <c r="F295" s="167" t="s">
        <v>470</v>
      </c>
      <c r="G295" s="188" t="s">
        <v>436</v>
      </c>
      <c r="H295" s="168">
        <v>90</v>
      </c>
      <c r="I295" s="188" t="s">
        <v>436</v>
      </c>
      <c r="J295" s="168" t="s">
        <v>469</v>
      </c>
      <c r="K295" s="188" t="s">
        <v>436</v>
      </c>
      <c r="L295" s="168" t="s">
        <v>535</v>
      </c>
      <c r="M295" s="168">
        <v>86</v>
      </c>
      <c r="N295" s="157" t="str">
        <f>IF(M295=C295,"-","")</f>
        <v/>
      </c>
      <c r="O295" s="168"/>
      <c r="P295" s="196"/>
      <c r="Q295" s="196"/>
      <c r="R295" s="196"/>
      <c r="S295" s="165"/>
      <c r="T295" s="167"/>
      <c r="U295" s="167"/>
      <c r="V295" s="167"/>
      <c r="W295" s="167"/>
      <c r="X295" s="167"/>
      <c r="Y295" s="197"/>
      <c r="Z295" s="158" t="str">
        <f>IF(SUM(M295,N295)=C295,"DONE"," ")</f>
        <v xml:space="preserve"> </v>
      </c>
      <c r="AA295" s="198">
        <v>45981</v>
      </c>
      <c r="AC295" s="101" t="s">
        <v>555</v>
      </c>
      <c r="AD295" s="123" t="s">
        <v>567</v>
      </c>
      <c r="AE295" s="101" t="s">
        <v>568</v>
      </c>
      <c r="AI295"/>
    </row>
    <row r="296" spans="1:35">
      <c r="A296" s="26">
        <v>308</v>
      </c>
      <c r="B296" s="94">
        <v>45979</v>
      </c>
      <c r="C296" s="28">
        <v>90</v>
      </c>
      <c r="D296" s="286"/>
      <c r="E296" s="27"/>
      <c r="F296" s="28" t="s">
        <v>472</v>
      </c>
      <c r="G296" s="188" t="s">
        <v>436</v>
      </c>
      <c r="H296" s="30">
        <v>90</v>
      </c>
      <c r="I296" s="188" t="s">
        <v>436</v>
      </c>
      <c r="J296" s="30" t="s">
        <v>472</v>
      </c>
      <c r="K296" s="188" t="s">
        <v>436</v>
      </c>
      <c r="L296" s="30" t="s">
        <v>535</v>
      </c>
      <c r="M296" s="30">
        <v>87</v>
      </c>
      <c r="N296" s="75" t="str">
        <f>IF(M296=C296,"-","")</f>
        <v/>
      </c>
      <c r="Z296" s="82" t="str">
        <f>IF(SUM(M296,N296)=C296,"DONE"," ")</f>
        <v xml:space="preserve"> </v>
      </c>
      <c r="AA296" s="108">
        <v>45980</v>
      </c>
      <c r="AC296" t="s">
        <v>512</v>
      </c>
      <c r="AE296" s="101"/>
    </row>
    <row r="297" spans="1:35">
      <c r="A297" s="26">
        <v>310</v>
      </c>
      <c r="B297" s="94">
        <v>45980</v>
      </c>
      <c r="C297" s="28">
        <v>90</v>
      </c>
      <c r="D297" s="286"/>
      <c r="E297" s="27"/>
      <c r="F297" s="28" t="s">
        <v>473</v>
      </c>
      <c r="G297" s="188" t="s">
        <v>436</v>
      </c>
      <c r="H297" s="30">
        <v>90</v>
      </c>
      <c r="I297" s="188" t="s">
        <v>436</v>
      </c>
      <c r="J297" s="30" t="s">
        <v>472</v>
      </c>
      <c r="K297" s="188" t="s">
        <v>436</v>
      </c>
      <c r="L297" s="30" t="s">
        <v>535</v>
      </c>
      <c r="M297" s="30">
        <v>89</v>
      </c>
      <c r="N297" s="75" t="str">
        <f>IF(M297=C297,"-","")</f>
        <v/>
      </c>
      <c r="Z297" s="82" t="str">
        <f>IF(SUM(M297,N297)=C297,"DONE"," ")</f>
        <v xml:space="preserve"> </v>
      </c>
      <c r="AA297" s="108">
        <v>45981</v>
      </c>
      <c r="AC297" t="s">
        <v>512</v>
      </c>
      <c r="AE297" s="101"/>
    </row>
    <row r="298" spans="1:35" s="101" customFormat="1">
      <c r="A298" s="176" t="s">
        <v>569</v>
      </c>
      <c r="B298" s="166">
        <v>45980</v>
      </c>
      <c r="C298" s="167">
        <v>90</v>
      </c>
      <c r="D298" s="288"/>
      <c r="E298" s="165"/>
      <c r="F298" s="167" t="s">
        <v>540</v>
      </c>
      <c r="G298" s="188" t="s">
        <v>436</v>
      </c>
      <c r="H298" s="168">
        <v>90</v>
      </c>
      <c r="I298" s="188" t="s">
        <v>436</v>
      </c>
      <c r="J298" s="168" t="s">
        <v>469</v>
      </c>
      <c r="K298" s="188" t="s">
        <v>436</v>
      </c>
      <c r="L298" s="168" t="s">
        <v>535</v>
      </c>
      <c r="M298" s="168">
        <v>86</v>
      </c>
      <c r="N298" s="157" t="str">
        <f>IF(M298=C298,"-","")</f>
        <v/>
      </c>
      <c r="O298" s="168"/>
      <c r="P298" s="196"/>
      <c r="Q298" s="196"/>
      <c r="R298" s="196"/>
      <c r="S298" s="165"/>
      <c r="T298" s="167"/>
      <c r="U298" s="167"/>
      <c r="V298" s="167"/>
      <c r="W298" s="167"/>
      <c r="X298" s="167"/>
      <c r="Y298" s="197"/>
      <c r="Z298" s="158" t="str">
        <f>IF(SUM(M298,N298)=C298,"DONE"," ")</f>
        <v xml:space="preserve"> </v>
      </c>
      <c r="AA298" s="198">
        <v>45982</v>
      </c>
      <c r="AC298" s="134" t="s">
        <v>570</v>
      </c>
      <c r="AD298" s="123" t="s">
        <v>567</v>
      </c>
      <c r="AE298" s="101" t="s">
        <v>571</v>
      </c>
      <c r="AI298"/>
    </row>
    <row r="299" spans="1:35" s="109" customFormat="1">
      <c r="A299" s="199" t="s">
        <v>572</v>
      </c>
      <c r="B299" s="166">
        <v>45980</v>
      </c>
      <c r="C299" s="167">
        <v>90</v>
      </c>
      <c r="D299" s="288"/>
      <c r="E299" s="165"/>
      <c r="F299" s="167" t="s">
        <v>470</v>
      </c>
      <c r="G299" s="188" t="s">
        <v>436</v>
      </c>
      <c r="H299" s="168">
        <v>90</v>
      </c>
      <c r="I299" s="188" t="s">
        <v>436</v>
      </c>
      <c r="J299" s="168" t="s">
        <v>469</v>
      </c>
      <c r="K299" s="188" t="s">
        <v>436</v>
      </c>
      <c r="L299" s="168" t="s">
        <v>535</v>
      </c>
      <c r="M299" s="168">
        <v>89</v>
      </c>
      <c r="N299" s="157" t="str">
        <f>IF(M299=C299,"-","")</f>
        <v/>
      </c>
      <c r="O299" s="168"/>
      <c r="P299" s="168"/>
      <c r="Q299" s="168"/>
      <c r="R299" s="168"/>
      <c r="S299" s="200"/>
      <c r="T299" s="176"/>
      <c r="U299" s="176"/>
      <c r="V299" s="176"/>
      <c r="W299" s="176"/>
      <c r="X299" s="176"/>
      <c r="Y299" s="201"/>
      <c r="Z299" s="158" t="str">
        <f>IF(SUM(M299,N299)=C299,"DONE"," ")</f>
        <v xml:space="preserve"> </v>
      </c>
      <c r="AA299" s="198">
        <v>45986</v>
      </c>
      <c r="AC299" s="134" t="s">
        <v>570</v>
      </c>
      <c r="AD299" s="123" t="s">
        <v>567</v>
      </c>
      <c r="AE299" s="101" t="s">
        <v>573</v>
      </c>
      <c r="AI299"/>
    </row>
    <row r="300" spans="1:35">
      <c r="A300" s="26">
        <v>311</v>
      </c>
      <c r="B300" s="94">
        <v>45981</v>
      </c>
      <c r="C300" s="28">
        <v>90</v>
      </c>
      <c r="D300" s="286"/>
      <c r="E300" s="27"/>
      <c r="F300" s="28" t="s">
        <v>540</v>
      </c>
      <c r="G300" s="188" t="s">
        <v>436</v>
      </c>
      <c r="H300" s="30">
        <v>90</v>
      </c>
      <c r="I300" s="188" t="s">
        <v>436</v>
      </c>
      <c r="J300" s="30" t="s">
        <v>472</v>
      </c>
      <c r="K300" s="188" t="s">
        <v>436</v>
      </c>
      <c r="L300" s="30" t="s">
        <v>535</v>
      </c>
      <c r="M300" s="30">
        <v>88</v>
      </c>
      <c r="N300" s="75" t="str">
        <f>IF(M300=C300,"-","")</f>
        <v/>
      </c>
      <c r="Z300" s="82" t="str">
        <f>IF(SUM(M300,N300)=C300,"DONE"," ")</f>
        <v xml:space="preserve"> </v>
      </c>
      <c r="AA300" s="108">
        <v>45982</v>
      </c>
      <c r="AC300" t="s">
        <v>512</v>
      </c>
      <c r="AE300" s="101"/>
    </row>
    <row r="301" spans="1:35">
      <c r="A301" s="26">
        <v>312</v>
      </c>
      <c r="B301" s="94">
        <v>45981</v>
      </c>
      <c r="C301" s="28">
        <v>90</v>
      </c>
      <c r="D301" s="286"/>
      <c r="E301" s="27"/>
      <c r="F301" s="28" t="s">
        <v>472</v>
      </c>
      <c r="G301" s="188" t="s">
        <v>436</v>
      </c>
      <c r="H301" s="30">
        <v>90</v>
      </c>
      <c r="I301" s="188" t="s">
        <v>436</v>
      </c>
      <c r="J301" s="30" t="s">
        <v>472</v>
      </c>
      <c r="K301" s="188" t="s">
        <v>436</v>
      </c>
      <c r="L301" s="30" t="s">
        <v>535</v>
      </c>
      <c r="M301" s="30">
        <v>88</v>
      </c>
      <c r="N301" s="75" t="str">
        <f>IF(M301=C301,"-","")</f>
        <v/>
      </c>
      <c r="Z301" s="82" t="str">
        <f>IF(SUM(M301,N301)=C301,"DONE"," ")</f>
        <v xml:space="preserve"> </v>
      </c>
      <c r="AA301" s="108">
        <v>45982</v>
      </c>
      <c r="AC301" t="s">
        <v>512</v>
      </c>
      <c r="AE301" s="101"/>
    </row>
    <row r="302" spans="1:35">
      <c r="A302" s="26">
        <v>313</v>
      </c>
      <c r="B302" s="94">
        <v>45982</v>
      </c>
      <c r="C302" s="28">
        <v>90</v>
      </c>
      <c r="D302" s="286"/>
      <c r="E302" s="27"/>
      <c r="F302" s="28" t="s">
        <v>519</v>
      </c>
      <c r="G302" s="188" t="s">
        <v>436</v>
      </c>
      <c r="H302" s="30">
        <v>90</v>
      </c>
      <c r="I302" s="188" t="s">
        <v>436</v>
      </c>
      <c r="J302" s="30" t="s">
        <v>472</v>
      </c>
      <c r="K302" s="188" t="s">
        <v>436</v>
      </c>
      <c r="L302" s="30" t="s">
        <v>535</v>
      </c>
      <c r="M302" s="30">
        <v>87</v>
      </c>
      <c r="N302" s="75" t="str">
        <f>IF(M302=C302,"-","")</f>
        <v/>
      </c>
      <c r="Z302" s="82" t="str">
        <f>IF(SUM(M302,N302)=C302,"DONE"," ")</f>
        <v xml:space="preserve"> </v>
      </c>
      <c r="AA302" s="108">
        <f>DATE(2025,11,24)</f>
        <v>45985</v>
      </c>
      <c r="AC302" t="s">
        <v>512</v>
      </c>
      <c r="AE302" s="101"/>
    </row>
    <row r="303" spans="1:35">
      <c r="A303" s="26">
        <v>314</v>
      </c>
      <c r="B303" s="94">
        <v>45982</v>
      </c>
      <c r="C303" s="28">
        <v>90</v>
      </c>
      <c r="D303" s="286"/>
      <c r="E303" s="27"/>
      <c r="F303" s="28" t="s">
        <v>540</v>
      </c>
      <c r="G303" s="188" t="s">
        <v>436</v>
      </c>
      <c r="H303" s="30">
        <v>90</v>
      </c>
      <c r="I303" s="188" t="s">
        <v>436</v>
      </c>
      <c r="J303" s="30" t="s">
        <v>472</v>
      </c>
      <c r="K303" s="188" t="s">
        <v>436</v>
      </c>
      <c r="L303" s="30" t="s">
        <v>535</v>
      </c>
      <c r="M303" s="30">
        <v>85</v>
      </c>
      <c r="N303" s="75" t="str">
        <f>IF(M303=C303,"-","")</f>
        <v/>
      </c>
      <c r="Z303" s="82" t="str">
        <f>IF(SUM(M303,N303)=C303,"DONE"," ")</f>
        <v xml:space="preserve"> </v>
      </c>
      <c r="AA303" s="108">
        <f>DATE(2025,11,24)</f>
        <v>45985</v>
      </c>
      <c r="AC303" t="s">
        <v>512</v>
      </c>
      <c r="AE303" s="101"/>
    </row>
    <row r="304" spans="1:35" s="101" customFormat="1" ht="18" customHeight="1">
      <c r="A304" s="114" t="s">
        <v>574</v>
      </c>
      <c r="B304" s="166">
        <v>45985</v>
      </c>
      <c r="C304" s="167">
        <v>90</v>
      </c>
      <c r="D304" s="288"/>
      <c r="E304" s="165"/>
      <c r="F304" s="167" t="s">
        <v>478</v>
      </c>
      <c r="G304" s="188" t="s">
        <v>436</v>
      </c>
      <c r="H304" s="168">
        <v>90</v>
      </c>
      <c r="I304" s="188" t="s">
        <v>436</v>
      </c>
      <c r="J304" s="168" t="s">
        <v>478</v>
      </c>
      <c r="K304" s="188" t="s">
        <v>436</v>
      </c>
      <c r="L304" s="168" t="s">
        <v>535</v>
      </c>
      <c r="M304" s="168">
        <v>87</v>
      </c>
      <c r="N304" s="157" t="str">
        <f>IF(M304=C304,"-","")</f>
        <v/>
      </c>
      <c r="O304" s="168"/>
      <c r="P304" s="196"/>
      <c r="Q304" s="196"/>
      <c r="R304" s="196"/>
      <c r="S304" s="165"/>
      <c r="T304" s="167"/>
      <c r="U304" s="167"/>
      <c r="V304" s="167"/>
      <c r="W304" s="167"/>
      <c r="X304" s="167"/>
      <c r="Y304" s="197"/>
      <c r="Z304" s="158" t="str">
        <f>IF(SUM(M304,N304)=C304,"DONE"," ")</f>
        <v xml:space="preserve"> </v>
      </c>
      <c r="AA304" s="198">
        <v>45989</v>
      </c>
      <c r="AC304" s="134" t="s">
        <v>570</v>
      </c>
      <c r="AD304" s="124" t="s">
        <v>575</v>
      </c>
      <c r="AE304" s="101" t="s">
        <v>576</v>
      </c>
      <c r="AI304"/>
    </row>
    <row r="305" spans="1:43" s="101" customFormat="1" ht="15.75">
      <c r="A305" s="114" t="s">
        <v>577</v>
      </c>
      <c r="B305" s="166">
        <v>45985</v>
      </c>
      <c r="C305" s="167">
        <v>90</v>
      </c>
      <c r="D305" s="288"/>
      <c r="E305" s="165"/>
      <c r="F305" s="167" t="s">
        <v>473</v>
      </c>
      <c r="G305" s="188" t="s">
        <v>436</v>
      </c>
      <c r="H305" s="168">
        <v>90</v>
      </c>
      <c r="I305" s="188" t="s">
        <v>436</v>
      </c>
      <c r="J305" s="168" t="s">
        <v>469</v>
      </c>
      <c r="K305" s="188" t="s">
        <v>436</v>
      </c>
      <c r="L305" s="168" t="s">
        <v>535</v>
      </c>
      <c r="M305" s="168">
        <v>88</v>
      </c>
      <c r="N305" s="157" t="str">
        <f>IF(M305=C305,"-","")</f>
        <v/>
      </c>
      <c r="O305" s="168"/>
      <c r="P305" s="196"/>
      <c r="Q305" s="196"/>
      <c r="R305" s="196"/>
      <c r="S305" s="165"/>
      <c r="T305" s="167"/>
      <c r="U305" s="167"/>
      <c r="V305" s="167"/>
      <c r="W305" s="167"/>
      <c r="X305" s="167"/>
      <c r="Y305" s="197"/>
      <c r="Z305" s="158" t="str">
        <f>IF(SUM(M305,N305)=C305,"DONE"," ")</f>
        <v xml:space="preserve"> </v>
      </c>
      <c r="AA305" s="198">
        <v>45992</v>
      </c>
      <c r="AC305" s="134" t="s">
        <v>570</v>
      </c>
      <c r="AD305" s="124" t="s">
        <v>578</v>
      </c>
      <c r="AE305" s="101" t="s">
        <v>579</v>
      </c>
      <c r="AI305"/>
    </row>
    <row r="306" spans="1:43" s="101" customFormat="1" ht="15.75">
      <c r="A306" s="114" t="s">
        <v>580</v>
      </c>
      <c r="B306" s="166">
        <v>45986</v>
      </c>
      <c r="C306" s="167">
        <v>90</v>
      </c>
      <c r="D306" s="287"/>
      <c r="E306" s="96"/>
      <c r="F306" s="167" t="s">
        <v>540</v>
      </c>
      <c r="G306" s="188" t="s">
        <v>436</v>
      </c>
      <c r="H306" s="168">
        <v>90</v>
      </c>
      <c r="I306" s="188" t="s">
        <v>436</v>
      </c>
      <c r="J306" s="168" t="s">
        <v>472</v>
      </c>
      <c r="K306" s="188" t="s">
        <v>436</v>
      </c>
      <c r="L306" s="168" t="s">
        <v>535</v>
      </c>
      <c r="M306" s="131">
        <v>90</v>
      </c>
      <c r="N306" s="75" t="str">
        <f>IF(M306=C306,"-","")</f>
        <v>-</v>
      </c>
      <c r="O306" s="99"/>
      <c r="P306" s="100"/>
      <c r="Q306" s="100"/>
      <c r="R306" s="100"/>
      <c r="S306" s="96"/>
      <c r="T306" s="98"/>
      <c r="U306" s="98"/>
      <c r="V306" s="98"/>
      <c r="W306" s="98"/>
      <c r="X306" s="98"/>
      <c r="Z306" s="82" t="str">
        <f>IF(SUM(M306,N306)=C306,"DONE"," ")</f>
        <v>DONE</v>
      </c>
      <c r="AA306" s="137">
        <v>45989</v>
      </c>
      <c r="AC306" s="134" t="s">
        <v>570</v>
      </c>
      <c r="AD306" s="124" t="s">
        <v>581</v>
      </c>
      <c r="AE306" s="101" t="s">
        <v>582</v>
      </c>
      <c r="AI306"/>
    </row>
    <row r="307" spans="1:43" s="101" customFormat="1" ht="15.75">
      <c r="A307" s="114" t="s">
        <v>583</v>
      </c>
      <c r="B307" s="166">
        <v>45986</v>
      </c>
      <c r="C307" s="167">
        <v>90</v>
      </c>
      <c r="D307" s="287"/>
      <c r="E307" s="96"/>
      <c r="F307" s="167" t="s">
        <v>473</v>
      </c>
      <c r="G307" s="188" t="s">
        <v>436</v>
      </c>
      <c r="H307" s="168">
        <v>90</v>
      </c>
      <c r="I307" s="188" t="s">
        <v>436</v>
      </c>
      <c r="J307" s="168" t="s">
        <v>472</v>
      </c>
      <c r="K307" s="188" t="s">
        <v>436</v>
      </c>
      <c r="L307" s="113" t="s">
        <v>535</v>
      </c>
      <c r="M307" s="131">
        <v>90</v>
      </c>
      <c r="N307" s="75" t="str">
        <f>IF(M307=C307,"-","")</f>
        <v>-</v>
      </c>
      <c r="O307" s="99"/>
      <c r="P307" s="100"/>
      <c r="Q307" s="100"/>
      <c r="R307" s="100"/>
      <c r="S307" s="96"/>
      <c r="T307" s="98"/>
      <c r="U307" s="98"/>
      <c r="V307" s="98"/>
      <c r="W307" s="98"/>
      <c r="X307" s="98"/>
      <c r="Z307" s="82" t="str">
        <f>IF(SUM(M307,N307)=C307,"DONE"," ")</f>
        <v>DONE</v>
      </c>
      <c r="AA307" s="137">
        <v>45989</v>
      </c>
      <c r="AC307" s="134" t="s">
        <v>570</v>
      </c>
      <c r="AD307" s="124" t="s">
        <v>584</v>
      </c>
      <c r="AE307" s="101" t="s">
        <v>582</v>
      </c>
      <c r="AI307"/>
    </row>
    <row r="308" spans="1:43" s="101" customFormat="1" ht="17.25" customHeight="1">
      <c r="A308" s="115" t="s">
        <v>585</v>
      </c>
      <c r="B308" s="166">
        <v>45987</v>
      </c>
      <c r="C308" s="167">
        <v>90</v>
      </c>
      <c r="D308" s="287"/>
      <c r="E308" s="96"/>
      <c r="F308" s="167" t="s">
        <v>540</v>
      </c>
      <c r="G308" s="188" t="s">
        <v>436</v>
      </c>
      <c r="H308" s="168">
        <v>90</v>
      </c>
      <c r="I308" s="188" t="s">
        <v>436</v>
      </c>
      <c r="J308" s="168" t="s">
        <v>472</v>
      </c>
      <c r="K308" s="188" t="s">
        <v>436</v>
      </c>
      <c r="L308" s="113" t="s">
        <v>535</v>
      </c>
      <c r="M308" s="131">
        <v>90</v>
      </c>
      <c r="N308" s="75" t="str">
        <f>IF(M308=C308,"-","")</f>
        <v>-</v>
      </c>
      <c r="O308" s="99"/>
      <c r="P308" s="100"/>
      <c r="Q308" s="100"/>
      <c r="R308" s="100"/>
      <c r="S308" s="96"/>
      <c r="T308" s="98"/>
      <c r="U308" s="98"/>
      <c r="V308" s="98"/>
      <c r="W308" s="98"/>
      <c r="X308" s="98"/>
      <c r="Z308" s="82" t="str">
        <f>IF(SUM(M308,N308)=C308,"DONE"," ")</f>
        <v>DONE</v>
      </c>
      <c r="AA308" s="137">
        <v>45989</v>
      </c>
      <c r="AC308" s="134" t="s">
        <v>570</v>
      </c>
      <c r="AD308" s="124" t="s">
        <v>586</v>
      </c>
      <c r="AE308" s="101" t="s">
        <v>582</v>
      </c>
      <c r="AI308"/>
    </row>
    <row r="309" spans="1:43" s="101" customFormat="1" ht="20.25" customHeight="1">
      <c r="A309" s="115" t="s">
        <v>587</v>
      </c>
      <c r="B309" s="166">
        <v>45989</v>
      </c>
      <c r="C309" s="167">
        <v>90</v>
      </c>
      <c r="D309" s="288"/>
      <c r="E309" s="165"/>
      <c r="F309" s="167" t="s">
        <v>470</v>
      </c>
      <c r="G309" s="188" t="s">
        <v>436</v>
      </c>
      <c r="H309" s="168">
        <v>90</v>
      </c>
      <c r="I309" s="188" t="s">
        <v>436</v>
      </c>
      <c r="J309" s="168" t="s">
        <v>588</v>
      </c>
      <c r="K309" s="188" t="s">
        <v>436</v>
      </c>
      <c r="L309" s="168" t="s">
        <v>535</v>
      </c>
      <c r="M309" s="168">
        <v>85</v>
      </c>
      <c r="N309" s="157" t="str">
        <f>IF(M309=C309,"-","")</f>
        <v/>
      </c>
      <c r="O309" s="168"/>
      <c r="P309" s="196"/>
      <c r="Q309" s="196"/>
      <c r="R309" s="196"/>
      <c r="S309" s="165"/>
      <c r="T309" s="167"/>
      <c r="U309" s="167"/>
      <c r="V309" s="167"/>
      <c r="W309" s="167"/>
      <c r="X309" s="167"/>
      <c r="Y309" s="197"/>
      <c r="Z309" s="158" t="str">
        <f>IF(SUM(M309,N309)=C309,"DONE"," ")</f>
        <v xml:space="preserve"> </v>
      </c>
      <c r="AA309" s="198">
        <v>45992</v>
      </c>
      <c r="AC309" s="134" t="s">
        <v>570</v>
      </c>
      <c r="AD309" s="124" t="s">
        <v>589</v>
      </c>
      <c r="AE309" s="101" t="s">
        <v>590</v>
      </c>
      <c r="AI309"/>
    </row>
    <row r="310" spans="1:43" s="101" customFormat="1" ht="15.75">
      <c r="A310" s="115" t="s">
        <v>591</v>
      </c>
      <c r="B310" s="166">
        <v>45989</v>
      </c>
      <c r="C310" s="167">
        <v>90</v>
      </c>
      <c r="D310" s="288"/>
      <c r="E310" s="165"/>
      <c r="F310" s="167" t="s">
        <v>473</v>
      </c>
      <c r="G310" s="188" t="s">
        <v>436</v>
      </c>
      <c r="H310" s="168">
        <v>90</v>
      </c>
      <c r="I310" s="188" t="s">
        <v>436</v>
      </c>
      <c r="J310" s="168" t="s">
        <v>469</v>
      </c>
      <c r="K310" s="188" t="s">
        <v>436</v>
      </c>
      <c r="L310" s="168" t="s">
        <v>535</v>
      </c>
      <c r="M310" s="168">
        <v>89</v>
      </c>
      <c r="N310" s="157" t="str">
        <f>IF(M310=C310,"-","")</f>
        <v/>
      </c>
      <c r="O310" s="168"/>
      <c r="P310" s="196"/>
      <c r="Q310" s="196"/>
      <c r="R310" s="196"/>
      <c r="S310" s="165"/>
      <c r="T310" s="167"/>
      <c r="U310" s="167"/>
      <c r="V310" s="167"/>
      <c r="W310" s="167"/>
      <c r="X310" s="167"/>
      <c r="Y310" s="197"/>
      <c r="Z310" s="158" t="str">
        <f>IF(SUM(M310,N310)=C310,"DONE"," ")</f>
        <v xml:space="preserve"> </v>
      </c>
      <c r="AA310" s="198">
        <v>45992</v>
      </c>
      <c r="AC310" s="134" t="s">
        <v>570</v>
      </c>
      <c r="AD310" s="124" t="s">
        <v>592</v>
      </c>
      <c r="AE310" s="101" t="s">
        <v>593</v>
      </c>
      <c r="AI310"/>
    </row>
    <row r="311" spans="1:43" s="101" customFormat="1" ht="15.75">
      <c r="A311" s="115" t="s">
        <v>594</v>
      </c>
      <c r="B311" s="166">
        <v>45989</v>
      </c>
      <c r="C311" s="167">
        <v>90</v>
      </c>
      <c r="D311" s="288"/>
      <c r="E311" s="165"/>
      <c r="F311" s="167" t="s">
        <v>540</v>
      </c>
      <c r="G311" s="188" t="s">
        <v>436</v>
      </c>
      <c r="H311" s="168">
        <v>90</v>
      </c>
      <c r="I311" s="188" t="s">
        <v>436</v>
      </c>
      <c r="J311" s="168" t="s">
        <v>472</v>
      </c>
      <c r="K311" s="188" t="s">
        <v>436</v>
      </c>
      <c r="L311" s="168" t="s">
        <v>535</v>
      </c>
      <c r="M311" s="168">
        <v>89</v>
      </c>
      <c r="N311" s="157" t="str">
        <f>IF(M311=C311,"-","")</f>
        <v/>
      </c>
      <c r="O311" s="168"/>
      <c r="P311" s="196"/>
      <c r="Q311" s="196"/>
      <c r="R311" s="196"/>
      <c r="S311" s="165"/>
      <c r="T311" s="167"/>
      <c r="U311" s="167"/>
      <c r="V311" s="167"/>
      <c r="W311" s="167"/>
      <c r="X311" s="167"/>
      <c r="Y311" s="197"/>
      <c r="Z311" s="158" t="str">
        <f>IF(SUM(M311,N311)=C311,"DONE"," ")</f>
        <v xml:space="preserve"> </v>
      </c>
      <c r="AA311" s="198">
        <v>45995</v>
      </c>
      <c r="AC311" s="134" t="s">
        <v>570</v>
      </c>
      <c r="AD311" s="124" t="s">
        <v>595</v>
      </c>
      <c r="AE311" s="101" t="s">
        <v>596</v>
      </c>
      <c r="AI311"/>
    </row>
    <row r="312" spans="1:43" s="101" customFormat="1" ht="15.75">
      <c r="A312" s="118" t="s">
        <v>597</v>
      </c>
      <c r="B312" s="166">
        <v>45989</v>
      </c>
      <c r="C312" s="167">
        <v>90</v>
      </c>
      <c r="D312" s="288"/>
      <c r="E312" s="165"/>
      <c r="F312" s="167" t="s">
        <v>472</v>
      </c>
      <c r="G312" s="188" t="s">
        <v>436</v>
      </c>
      <c r="H312" s="168">
        <v>90</v>
      </c>
      <c r="I312" s="188" t="s">
        <v>436</v>
      </c>
      <c r="J312" s="168" t="s">
        <v>472</v>
      </c>
      <c r="K312" s="188" t="s">
        <v>436</v>
      </c>
      <c r="L312" s="168" t="s">
        <v>535</v>
      </c>
      <c r="M312" s="168">
        <v>89</v>
      </c>
      <c r="N312" s="157" t="str">
        <f>IF(M312=C312,"-","")</f>
        <v/>
      </c>
      <c r="O312" s="168"/>
      <c r="P312" s="196"/>
      <c r="Q312" s="196"/>
      <c r="R312" s="196"/>
      <c r="S312" s="165"/>
      <c r="T312" s="167"/>
      <c r="U312" s="167"/>
      <c r="V312" s="167"/>
      <c r="W312" s="167"/>
      <c r="X312" s="167"/>
      <c r="Y312" s="197"/>
      <c r="Z312" s="158" t="str">
        <f>IF(SUM(M312,N312)=C312,"DONE"," ")</f>
        <v xml:space="preserve"> </v>
      </c>
      <c r="AA312" s="198">
        <v>45996</v>
      </c>
      <c r="AC312" s="134" t="s">
        <v>570</v>
      </c>
      <c r="AD312" s="124" t="s">
        <v>598</v>
      </c>
      <c r="AE312" s="101" t="s">
        <v>599</v>
      </c>
      <c r="AI312"/>
    </row>
    <row r="313" spans="1:43" s="101" customFormat="1" ht="15.75">
      <c r="A313" s="115" t="s">
        <v>600</v>
      </c>
      <c r="B313" s="166">
        <v>45991</v>
      </c>
      <c r="C313" s="117">
        <v>90</v>
      </c>
      <c r="D313" s="288"/>
      <c r="E313" s="165"/>
      <c r="F313" s="167" t="s">
        <v>473</v>
      </c>
      <c r="G313" s="188" t="s">
        <v>436</v>
      </c>
      <c r="H313" s="168">
        <v>90</v>
      </c>
      <c r="I313" s="188" t="s">
        <v>436</v>
      </c>
      <c r="J313" s="168" t="s">
        <v>469</v>
      </c>
      <c r="K313" s="188" t="s">
        <v>436</v>
      </c>
      <c r="L313" s="168" t="s">
        <v>535</v>
      </c>
      <c r="M313" s="168">
        <v>89</v>
      </c>
      <c r="N313" s="157" t="str">
        <f>IF(M313=C313,"-","")</f>
        <v/>
      </c>
      <c r="O313" s="168"/>
      <c r="P313" s="196"/>
      <c r="Q313" s="196"/>
      <c r="R313" s="196"/>
      <c r="S313" s="165"/>
      <c r="T313" s="167"/>
      <c r="U313" s="167"/>
      <c r="V313" s="167"/>
      <c r="W313" s="167"/>
      <c r="X313" s="167"/>
      <c r="Y313" s="197"/>
      <c r="Z313" s="158" t="str">
        <f>IF(SUM(M313,N313)=C313,"DONE"," ")</f>
        <v xml:space="preserve"> </v>
      </c>
      <c r="AA313" s="198">
        <v>45993</v>
      </c>
      <c r="AC313" s="134" t="s">
        <v>570</v>
      </c>
      <c r="AD313" s="124" t="s">
        <v>601</v>
      </c>
      <c r="AE313" s="101" t="s">
        <v>602</v>
      </c>
    </row>
    <row r="314" spans="1:43" s="101" customFormat="1" ht="29.25">
      <c r="A314" s="116" t="s">
        <v>603</v>
      </c>
      <c r="B314" s="166">
        <v>45991</v>
      </c>
      <c r="C314" s="117">
        <v>90</v>
      </c>
      <c r="D314" s="288"/>
      <c r="E314" s="165"/>
      <c r="F314" s="167" t="s">
        <v>470</v>
      </c>
      <c r="G314" s="188" t="s">
        <v>436</v>
      </c>
      <c r="H314" s="168">
        <v>90</v>
      </c>
      <c r="I314" s="188" t="s">
        <v>436</v>
      </c>
      <c r="J314" s="168" t="s">
        <v>469</v>
      </c>
      <c r="K314" s="188" t="s">
        <v>436</v>
      </c>
      <c r="L314" s="168" t="s">
        <v>535</v>
      </c>
      <c r="M314" s="168">
        <v>88</v>
      </c>
      <c r="N314" s="157" t="str">
        <f>IF(M314=C314,"-","")</f>
        <v/>
      </c>
      <c r="O314" s="168"/>
      <c r="P314" s="196"/>
      <c r="Q314" s="196"/>
      <c r="R314" s="196"/>
      <c r="S314" s="165"/>
      <c r="T314" s="167"/>
      <c r="U314" s="167"/>
      <c r="V314" s="167"/>
      <c r="W314" s="167"/>
      <c r="X314" s="167"/>
      <c r="Y314" s="197"/>
      <c r="Z314" s="158" t="str">
        <f>IF(SUM(M314,N314)=C314,"DONE"," ")</f>
        <v xml:space="preserve"> </v>
      </c>
      <c r="AA314" s="198">
        <v>45993</v>
      </c>
      <c r="AC314" s="134" t="s">
        <v>570</v>
      </c>
      <c r="AD314" s="124" t="s">
        <v>604</v>
      </c>
      <c r="AE314" s="101" t="s">
        <v>605</v>
      </c>
    </row>
    <row r="315" spans="1:43" s="101" customFormat="1" ht="15.75">
      <c r="A315" s="116" t="s">
        <v>606</v>
      </c>
      <c r="B315" s="166">
        <v>45993</v>
      </c>
      <c r="C315" s="117">
        <v>90</v>
      </c>
      <c r="D315" s="288"/>
      <c r="E315" s="165"/>
      <c r="F315" s="167" t="s">
        <v>540</v>
      </c>
      <c r="G315" s="188" t="s">
        <v>436</v>
      </c>
      <c r="H315" s="168">
        <v>90</v>
      </c>
      <c r="I315" s="188" t="s">
        <v>436</v>
      </c>
      <c r="J315" s="168" t="s">
        <v>469</v>
      </c>
      <c r="K315" s="188" t="s">
        <v>436</v>
      </c>
      <c r="L315" s="168" t="s">
        <v>535</v>
      </c>
      <c r="M315" s="168">
        <v>87</v>
      </c>
      <c r="N315" s="157" t="str">
        <f>IF(M315=C315,"-","")</f>
        <v/>
      </c>
      <c r="O315" s="168"/>
      <c r="P315" s="196"/>
      <c r="Q315" s="196"/>
      <c r="R315" s="196"/>
      <c r="S315" s="165"/>
      <c r="T315" s="167"/>
      <c r="U315" s="167"/>
      <c r="V315" s="167"/>
      <c r="W315" s="167"/>
      <c r="X315" s="167"/>
      <c r="Y315" s="197"/>
      <c r="Z315" s="158" t="str">
        <f>IF(SUM(M315,N315)=C315,"DONE"," ")</f>
        <v xml:space="preserve"> </v>
      </c>
      <c r="AA315" s="198">
        <v>45995</v>
      </c>
      <c r="AC315" s="134" t="s">
        <v>570</v>
      </c>
      <c r="AD315" s="124" t="s">
        <v>607</v>
      </c>
      <c r="AE315" s="101" t="s">
        <v>608</v>
      </c>
    </row>
    <row r="316" spans="1:43" s="101" customFormat="1" ht="15.75">
      <c r="A316" s="116" t="s">
        <v>609</v>
      </c>
      <c r="B316" s="166">
        <v>45993</v>
      </c>
      <c r="C316" s="117">
        <v>90</v>
      </c>
      <c r="D316" s="288"/>
      <c r="E316" s="165"/>
      <c r="F316" s="167" t="s">
        <v>470</v>
      </c>
      <c r="G316" s="188" t="s">
        <v>436</v>
      </c>
      <c r="H316" s="168">
        <v>90</v>
      </c>
      <c r="I316" s="188" t="s">
        <v>436</v>
      </c>
      <c r="J316" s="168" t="s">
        <v>469</v>
      </c>
      <c r="K316" s="188" t="s">
        <v>436</v>
      </c>
      <c r="L316" s="168" t="s">
        <v>535</v>
      </c>
      <c r="M316" s="168">
        <v>88</v>
      </c>
      <c r="N316" s="157" t="str">
        <f>IF(M316=C316,"-","")</f>
        <v/>
      </c>
      <c r="O316" s="168"/>
      <c r="P316" s="196"/>
      <c r="Q316" s="196"/>
      <c r="R316" s="196"/>
      <c r="S316" s="165"/>
      <c r="T316" s="167"/>
      <c r="U316" s="167"/>
      <c r="V316" s="167"/>
      <c r="W316" s="167"/>
      <c r="X316" s="167"/>
      <c r="Y316" s="197"/>
      <c r="Z316" s="158" t="str">
        <f>IF(SUM(M316,N316)=C316,"DONE"," ")</f>
        <v xml:space="preserve"> </v>
      </c>
      <c r="AA316" s="198">
        <v>45995</v>
      </c>
      <c r="AC316" s="134" t="s">
        <v>570</v>
      </c>
      <c r="AD316" s="124" t="s">
        <v>607</v>
      </c>
      <c r="AE316" s="101" t="s">
        <v>610</v>
      </c>
    </row>
    <row r="317" spans="1:43" s="121" customFormat="1" ht="15.75">
      <c r="A317" s="116" t="s">
        <v>611</v>
      </c>
      <c r="B317" s="166">
        <v>45993</v>
      </c>
      <c r="C317" s="117">
        <v>90</v>
      </c>
      <c r="D317" s="288"/>
      <c r="E317" s="165"/>
      <c r="F317" s="167" t="s">
        <v>473</v>
      </c>
      <c r="G317" s="188" t="s">
        <v>436</v>
      </c>
      <c r="H317" s="168">
        <v>90</v>
      </c>
      <c r="I317" s="188" t="s">
        <v>436</v>
      </c>
      <c r="J317" s="168" t="s">
        <v>469</v>
      </c>
      <c r="K317" s="188" t="s">
        <v>436</v>
      </c>
      <c r="L317" s="168" t="s">
        <v>535</v>
      </c>
      <c r="M317" s="168">
        <v>88</v>
      </c>
      <c r="N317" s="157" t="str">
        <f>IF(M317=C317,"-","")</f>
        <v/>
      </c>
      <c r="O317" s="168"/>
      <c r="P317" s="196"/>
      <c r="Q317" s="196"/>
      <c r="R317" s="196"/>
      <c r="S317" s="165"/>
      <c r="T317" s="167"/>
      <c r="U317" s="167"/>
      <c r="V317" s="167"/>
      <c r="W317" s="167"/>
      <c r="X317" s="167"/>
      <c r="Y317" s="197"/>
      <c r="Z317" s="158" t="str">
        <f>IF(SUM(M317,N317)=C317,"DONE"," ")</f>
        <v xml:space="preserve"> </v>
      </c>
      <c r="AA317" s="198">
        <v>45995</v>
      </c>
      <c r="AB317" s="197"/>
      <c r="AC317" s="134" t="s">
        <v>570</v>
      </c>
      <c r="AD317" s="202" t="s">
        <v>612</v>
      </c>
      <c r="AE317" s="101" t="s">
        <v>610</v>
      </c>
      <c r="AF317" s="101"/>
      <c r="AG317" s="101"/>
      <c r="AH317" s="101"/>
      <c r="AI317" s="197"/>
      <c r="AJ317" s="197"/>
      <c r="AK317" s="197"/>
      <c r="AL317" s="197"/>
      <c r="AM317" s="197"/>
      <c r="AN317" s="197"/>
      <c r="AO317" s="197"/>
      <c r="AP317" s="197"/>
      <c r="AQ317" s="197"/>
    </row>
    <row r="318" spans="1:43" s="101" customFormat="1" ht="15.75">
      <c r="A318" s="116" t="s">
        <v>613</v>
      </c>
      <c r="B318" s="166">
        <v>45993</v>
      </c>
      <c r="C318" s="117">
        <v>90</v>
      </c>
      <c r="D318" s="288"/>
      <c r="E318" s="165"/>
      <c r="F318" s="167" t="s">
        <v>470</v>
      </c>
      <c r="G318" s="188" t="s">
        <v>436</v>
      </c>
      <c r="H318" s="168">
        <v>90</v>
      </c>
      <c r="I318" s="188" t="s">
        <v>436</v>
      </c>
      <c r="J318" s="168" t="s">
        <v>470</v>
      </c>
      <c r="K318" s="188" t="s">
        <v>436</v>
      </c>
      <c r="L318" s="168" t="s">
        <v>535</v>
      </c>
      <c r="M318" s="168">
        <v>86</v>
      </c>
      <c r="N318" s="157" t="str">
        <f>IF(M318=C318,"-","")</f>
        <v/>
      </c>
      <c r="O318" s="168"/>
      <c r="P318" s="196"/>
      <c r="Q318" s="196"/>
      <c r="R318" s="196"/>
      <c r="S318" s="165"/>
      <c r="T318" s="167"/>
      <c r="U318" s="167"/>
      <c r="V318" s="167"/>
      <c r="W318" s="167"/>
      <c r="X318" s="167"/>
      <c r="Y318" s="197"/>
      <c r="Z318" s="158" t="str">
        <f>IF(SUM(M318,N318)=C318,"DONE"," ")</f>
        <v xml:space="preserve"> </v>
      </c>
      <c r="AA318" s="198">
        <v>46000</v>
      </c>
      <c r="AC318" s="134" t="s">
        <v>570</v>
      </c>
      <c r="AD318" s="124" t="s">
        <v>614</v>
      </c>
      <c r="AE318" s="101" t="s">
        <v>615</v>
      </c>
    </row>
    <row r="319" spans="1:43" s="121" customFormat="1" ht="20.25" customHeight="1">
      <c r="A319" s="116" t="s">
        <v>616</v>
      </c>
      <c r="B319" s="166">
        <v>45993</v>
      </c>
      <c r="C319" s="117">
        <v>90</v>
      </c>
      <c r="D319" s="288"/>
      <c r="E319" s="165"/>
      <c r="F319" s="167" t="s">
        <v>472</v>
      </c>
      <c r="G319" s="188" t="s">
        <v>436</v>
      </c>
      <c r="H319" s="168">
        <v>90</v>
      </c>
      <c r="I319" s="188" t="s">
        <v>436</v>
      </c>
      <c r="J319" s="168" t="s">
        <v>472</v>
      </c>
      <c r="K319" s="188" t="s">
        <v>436</v>
      </c>
      <c r="L319" s="168" t="s">
        <v>535</v>
      </c>
      <c r="M319" s="168">
        <v>89</v>
      </c>
      <c r="N319" s="157" t="str">
        <f>IF(M319=C319,"-","")</f>
        <v/>
      </c>
      <c r="O319" s="168"/>
      <c r="P319" s="196"/>
      <c r="Q319" s="196"/>
      <c r="R319" s="196"/>
      <c r="S319" s="165"/>
      <c r="T319" s="167"/>
      <c r="U319" s="167"/>
      <c r="V319" s="167"/>
      <c r="W319" s="167"/>
      <c r="X319" s="167"/>
      <c r="Y319" s="197"/>
      <c r="Z319" s="158" t="str">
        <f>IF(SUM(M319,N319)=C319,"DONE"," ")</f>
        <v xml:space="preserve"> </v>
      </c>
      <c r="AA319" s="198">
        <v>45995</v>
      </c>
      <c r="AB319" s="197"/>
      <c r="AC319" s="134" t="s">
        <v>570</v>
      </c>
      <c r="AD319" s="203" t="s">
        <v>617</v>
      </c>
      <c r="AE319" s="101" t="s">
        <v>596</v>
      </c>
      <c r="AF319" s="101"/>
      <c r="AG319" s="101"/>
      <c r="AH319" s="101"/>
      <c r="AI319" s="197"/>
      <c r="AJ319" s="197"/>
      <c r="AK319" s="197"/>
      <c r="AL319" s="197"/>
      <c r="AM319" s="197"/>
      <c r="AN319" s="197"/>
      <c r="AO319" s="197"/>
      <c r="AP319" s="197"/>
      <c r="AQ319" s="197"/>
    </row>
    <row r="320" spans="1:43" s="101" customFormat="1" ht="18.75" customHeight="1">
      <c r="A320" s="116" t="s">
        <v>618</v>
      </c>
      <c r="B320" s="166">
        <v>45993</v>
      </c>
      <c r="C320" s="117">
        <v>90</v>
      </c>
      <c r="D320" s="288"/>
      <c r="E320" s="165"/>
      <c r="F320" s="167" t="s">
        <v>540</v>
      </c>
      <c r="G320" s="188" t="s">
        <v>436</v>
      </c>
      <c r="H320" s="168">
        <v>90</v>
      </c>
      <c r="I320" s="188" t="s">
        <v>436</v>
      </c>
      <c r="J320" s="168" t="s">
        <v>469</v>
      </c>
      <c r="K320" s="188" t="s">
        <v>436</v>
      </c>
      <c r="L320" s="168" t="s">
        <v>535</v>
      </c>
      <c r="M320" s="168">
        <v>85</v>
      </c>
      <c r="N320" s="157" t="str">
        <f>IF(M320=C320,"-","")</f>
        <v/>
      </c>
      <c r="O320" s="168"/>
      <c r="P320" s="196"/>
      <c r="Q320" s="196"/>
      <c r="R320" s="196"/>
      <c r="S320" s="165"/>
      <c r="T320" s="167"/>
      <c r="U320" s="167"/>
      <c r="V320" s="167"/>
      <c r="W320" s="167"/>
      <c r="X320" s="167"/>
      <c r="Y320" s="197"/>
      <c r="Z320" s="158" t="str">
        <f>IF(SUM(M320,N320)=C320,"DONE"," ")</f>
        <v xml:space="preserve"> </v>
      </c>
      <c r="AA320" s="198">
        <v>45996</v>
      </c>
      <c r="AC320" s="134" t="s">
        <v>570</v>
      </c>
      <c r="AD320" s="124" t="s">
        <v>619</v>
      </c>
      <c r="AE320" s="101" t="s">
        <v>620</v>
      </c>
    </row>
    <row r="321" spans="1:34" s="101" customFormat="1" ht="18.75" customHeight="1">
      <c r="A321" s="116" t="s">
        <v>621</v>
      </c>
      <c r="B321" s="166">
        <v>45995</v>
      </c>
      <c r="C321" s="167">
        <v>90</v>
      </c>
      <c r="D321" s="288"/>
      <c r="E321" s="165"/>
      <c r="F321" s="167" t="s">
        <v>470</v>
      </c>
      <c r="G321" s="188" t="s">
        <v>436</v>
      </c>
      <c r="H321" s="168">
        <v>90</v>
      </c>
      <c r="I321" s="188" t="s">
        <v>436</v>
      </c>
      <c r="J321" s="168" t="s">
        <v>588</v>
      </c>
      <c r="K321" s="188" t="s">
        <v>436</v>
      </c>
      <c r="L321" s="168" t="s">
        <v>535</v>
      </c>
      <c r="M321" s="168">
        <v>90</v>
      </c>
      <c r="N321" s="157" t="str">
        <f>IF(M321=C321,"-","")</f>
        <v>-</v>
      </c>
      <c r="O321" s="168"/>
      <c r="P321" s="196"/>
      <c r="Q321" s="196"/>
      <c r="R321" s="196"/>
      <c r="S321" s="165"/>
      <c r="T321" s="167"/>
      <c r="U321" s="167"/>
      <c r="V321" s="167"/>
      <c r="W321" s="167"/>
      <c r="X321" s="167"/>
      <c r="Y321" s="197"/>
      <c r="Z321" s="158" t="str">
        <f>IF(SUM(M321,N321)=C321,"DONE"," ")</f>
        <v>DONE</v>
      </c>
      <c r="AA321" s="198">
        <v>45996</v>
      </c>
      <c r="AC321" s="134" t="s">
        <v>570</v>
      </c>
      <c r="AD321" s="124" t="s">
        <v>619</v>
      </c>
      <c r="AE321" s="101" t="s">
        <v>622</v>
      </c>
    </row>
    <row r="322" spans="1:34" s="101" customFormat="1" ht="18.75" customHeight="1">
      <c r="A322" s="116" t="s">
        <v>623</v>
      </c>
      <c r="B322" s="166">
        <v>45995</v>
      </c>
      <c r="C322" s="167">
        <v>90</v>
      </c>
      <c r="D322" s="288"/>
      <c r="E322" s="165"/>
      <c r="F322" s="167" t="s">
        <v>562</v>
      </c>
      <c r="G322" s="188" t="s">
        <v>436</v>
      </c>
      <c r="H322" s="168">
        <v>90</v>
      </c>
      <c r="I322" s="188" t="s">
        <v>436</v>
      </c>
      <c r="J322" s="168" t="s">
        <v>472</v>
      </c>
      <c r="K322" s="188" t="s">
        <v>436</v>
      </c>
      <c r="L322" s="168" t="s">
        <v>535</v>
      </c>
      <c r="M322" s="168">
        <v>88</v>
      </c>
      <c r="N322" s="157" t="str">
        <f>IF(M322=C322,"-","")</f>
        <v/>
      </c>
      <c r="O322" s="168"/>
      <c r="P322" s="196"/>
      <c r="Q322" s="196"/>
      <c r="R322" s="196"/>
      <c r="S322" s="165"/>
      <c r="T322" s="167"/>
      <c r="U322" s="167"/>
      <c r="V322" s="167"/>
      <c r="W322" s="167"/>
      <c r="X322" s="167"/>
      <c r="Y322" s="197"/>
      <c r="Z322" s="158" t="str">
        <f>IF(SUM(M322,N322)=C322,"DONE"," ")</f>
        <v xml:space="preserve"> </v>
      </c>
      <c r="AA322" s="198">
        <v>45996</v>
      </c>
      <c r="AC322" s="134" t="s">
        <v>570</v>
      </c>
      <c r="AD322" s="124" t="s">
        <v>624</v>
      </c>
      <c r="AE322" s="101" t="s">
        <v>625</v>
      </c>
    </row>
    <row r="323" spans="1:34" s="101" customFormat="1" ht="17.25" customHeight="1">
      <c r="A323" s="116" t="s">
        <v>626</v>
      </c>
      <c r="B323" s="166">
        <v>45995</v>
      </c>
      <c r="C323" s="167">
        <v>90</v>
      </c>
      <c r="D323" s="288"/>
      <c r="E323" s="165"/>
      <c r="F323" s="167" t="s">
        <v>472</v>
      </c>
      <c r="G323" s="188" t="s">
        <v>436</v>
      </c>
      <c r="H323" s="168">
        <v>90</v>
      </c>
      <c r="I323" s="188" t="s">
        <v>436</v>
      </c>
      <c r="J323" s="168" t="s">
        <v>472</v>
      </c>
      <c r="K323" s="188" t="s">
        <v>436</v>
      </c>
      <c r="L323" s="168" t="s">
        <v>535</v>
      </c>
      <c r="M323" s="168">
        <v>89</v>
      </c>
      <c r="N323" s="157" t="str">
        <f>IF(M323=C323,"-","")</f>
        <v/>
      </c>
      <c r="O323" s="168"/>
      <c r="P323" s="196"/>
      <c r="Q323" s="196"/>
      <c r="R323" s="196"/>
      <c r="S323" s="165"/>
      <c r="T323" s="167"/>
      <c r="U323" s="167"/>
      <c r="V323" s="167"/>
      <c r="W323" s="167"/>
      <c r="X323" s="167"/>
      <c r="Y323" s="197"/>
      <c r="Z323" s="158" t="str">
        <f>IF(SUM(M323,N323)=C323,"DONE"," ")</f>
        <v xml:space="preserve"> </v>
      </c>
      <c r="AA323" s="198">
        <v>45996</v>
      </c>
      <c r="AC323" s="134" t="s">
        <v>570</v>
      </c>
      <c r="AD323" s="124" t="s">
        <v>619</v>
      </c>
      <c r="AE323" s="101" t="s">
        <v>599</v>
      </c>
    </row>
    <row r="324" spans="1:34" s="101" customFormat="1" ht="15.75">
      <c r="A324" s="116" t="s">
        <v>627</v>
      </c>
      <c r="B324" s="166">
        <v>45996</v>
      </c>
      <c r="C324" s="167">
        <v>90</v>
      </c>
      <c r="D324" s="288"/>
      <c r="E324" s="165"/>
      <c r="F324" s="167" t="s">
        <v>540</v>
      </c>
      <c r="G324" s="188" t="s">
        <v>436</v>
      </c>
      <c r="H324" s="168">
        <v>90</v>
      </c>
      <c r="I324" s="188" t="s">
        <v>436</v>
      </c>
      <c r="J324" s="168" t="s">
        <v>472</v>
      </c>
      <c r="K324" s="188" t="s">
        <v>436</v>
      </c>
      <c r="L324" s="168" t="s">
        <v>535</v>
      </c>
      <c r="M324" s="168">
        <v>89</v>
      </c>
      <c r="N324" s="157" t="str">
        <f>IF(M324=C324,"-","")</f>
        <v/>
      </c>
      <c r="O324" s="168"/>
      <c r="P324" s="196"/>
      <c r="Q324" s="196"/>
      <c r="R324" s="196"/>
      <c r="S324" s="165"/>
      <c r="T324" s="167"/>
      <c r="U324" s="167"/>
      <c r="V324" s="167"/>
      <c r="W324" s="167"/>
      <c r="X324" s="167"/>
      <c r="Y324" s="197"/>
      <c r="Z324" s="158" t="str">
        <f>IF(SUM(M324,N324)=C324,"DONE"," ")</f>
        <v xml:space="preserve"> </v>
      </c>
      <c r="AA324" s="198">
        <v>45999</v>
      </c>
      <c r="AC324" s="134" t="s">
        <v>570</v>
      </c>
      <c r="AD324" s="124"/>
      <c r="AE324" s="101" t="s">
        <v>628</v>
      </c>
    </row>
    <row r="325" spans="1:34" s="101" customFormat="1" ht="15.75">
      <c r="A325" s="116" t="s">
        <v>629</v>
      </c>
      <c r="B325" s="166">
        <v>45996</v>
      </c>
      <c r="C325" s="167">
        <v>90</v>
      </c>
      <c r="D325" s="288"/>
      <c r="E325" s="165"/>
      <c r="F325" s="167" t="s">
        <v>473</v>
      </c>
      <c r="G325" s="188" t="s">
        <v>436</v>
      </c>
      <c r="H325" s="168">
        <v>90</v>
      </c>
      <c r="I325" s="188" t="s">
        <v>436</v>
      </c>
      <c r="J325" s="168" t="s">
        <v>472</v>
      </c>
      <c r="K325" s="188" t="s">
        <v>436</v>
      </c>
      <c r="L325" s="168" t="s">
        <v>535</v>
      </c>
      <c r="M325" s="168">
        <v>88</v>
      </c>
      <c r="N325" s="157" t="str">
        <f>IF(M325=C325,"-","")</f>
        <v/>
      </c>
      <c r="O325" s="168"/>
      <c r="P325" s="196"/>
      <c r="Q325" s="196"/>
      <c r="R325" s="196"/>
      <c r="S325" s="165"/>
      <c r="T325" s="167"/>
      <c r="U325" s="167"/>
      <c r="V325" s="167"/>
      <c r="W325" s="167"/>
      <c r="X325" s="167"/>
      <c r="Y325" s="197"/>
      <c r="Z325" s="158" t="str">
        <f>IF(SUM(M325,N325)=C325,"DONE"," ")</f>
        <v xml:space="preserve"> </v>
      </c>
      <c r="AA325" s="198">
        <v>45999</v>
      </c>
      <c r="AC325" s="134" t="s">
        <v>570</v>
      </c>
      <c r="AD325" s="124"/>
      <c r="AE325" s="101" t="s">
        <v>630</v>
      </c>
    </row>
    <row r="326" spans="1:34" s="101" customFormat="1" ht="15.75">
      <c r="A326" s="116" t="s">
        <v>631</v>
      </c>
      <c r="B326" s="166">
        <v>45996</v>
      </c>
      <c r="C326" s="167">
        <v>90</v>
      </c>
      <c r="D326" s="288"/>
      <c r="E326" s="165"/>
      <c r="F326" s="167" t="s">
        <v>470</v>
      </c>
      <c r="G326" s="188" t="s">
        <v>436</v>
      </c>
      <c r="H326" s="168">
        <v>90</v>
      </c>
      <c r="I326" s="188" t="s">
        <v>436</v>
      </c>
      <c r="J326" s="168" t="s">
        <v>472</v>
      </c>
      <c r="K326" s="188" t="s">
        <v>436</v>
      </c>
      <c r="L326" s="168" t="s">
        <v>535</v>
      </c>
      <c r="M326" s="168">
        <v>79</v>
      </c>
      <c r="N326" s="157" t="str">
        <f>IF(M326=C326,"-","")</f>
        <v/>
      </c>
      <c r="O326" s="168"/>
      <c r="P326" s="196"/>
      <c r="Q326" s="196"/>
      <c r="R326" s="196"/>
      <c r="S326" s="165"/>
      <c r="T326" s="167"/>
      <c r="U326" s="167"/>
      <c r="V326" s="167"/>
      <c r="W326" s="167"/>
      <c r="X326" s="167"/>
      <c r="Y326" s="197"/>
      <c r="Z326" s="158" t="str">
        <f>IF(SUM(M326,N326)=C326,"DONE"," ")</f>
        <v xml:space="preserve"> </v>
      </c>
      <c r="AA326" s="198">
        <v>46006</v>
      </c>
      <c r="AC326" s="134" t="s">
        <v>570</v>
      </c>
      <c r="AD326" s="124"/>
    </row>
    <row r="327" spans="1:34" s="101" customFormat="1" ht="17.25" customHeight="1">
      <c r="A327" s="116" t="s">
        <v>632</v>
      </c>
      <c r="B327" s="166">
        <v>45996</v>
      </c>
      <c r="C327" s="167">
        <v>90</v>
      </c>
      <c r="D327" s="288"/>
      <c r="E327" s="165"/>
      <c r="F327" s="167" t="s">
        <v>540</v>
      </c>
      <c r="G327" s="188" t="s">
        <v>436</v>
      </c>
      <c r="H327" s="168">
        <v>90</v>
      </c>
      <c r="I327" s="188" t="s">
        <v>436</v>
      </c>
      <c r="J327" s="168" t="s">
        <v>472</v>
      </c>
      <c r="K327" s="188" t="s">
        <v>436</v>
      </c>
      <c r="L327" s="168" t="s">
        <v>535</v>
      </c>
      <c r="M327" s="168">
        <v>88</v>
      </c>
      <c r="N327" s="157" t="str">
        <f>IF(M327=C327,"-","")</f>
        <v/>
      </c>
      <c r="O327" s="168"/>
      <c r="P327" s="196"/>
      <c r="Q327" s="196"/>
      <c r="R327" s="196"/>
      <c r="S327" s="165"/>
      <c r="T327" s="167"/>
      <c r="U327" s="167"/>
      <c r="V327" s="167"/>
      <c r="W327" s="167"/>
      <c r="X327" s="167"/>
      <c r="Y327" s="197"/>
      <c r="Z327" s="158" t="str">
        <f>IF(SUM(M327,N327)=C327,"DONE"," ")</f>
        <v xml:space="preserve"> </v>
      </c>
      <c r="AA327" s="198">
        <v>46000</v>
      </c>
      <c r="AC327" s="134" t="s">
        <v>570</v>
      </c>
      <c r="AD327" s="124" t="s">
        <v>633</v>
      </c>
      <c r="AE327" s="101" t="s">
        <v>634</v>
      </c>
      <c r="AF327"/>
      <c r="AG327"/>
      <c r="AH327"/>
    </row>
    <row r="328" spans="1:34" s="101" customFormat="1" ht="15.75">
      <c r="A328" s="116" t="s">
        <v>635</v>
      </c>
      <c r="B328" s="166">
        <v>45998</v>
      </c>
      <c r="C328" s="167">
        <v>90</v>
      </c>
      <c r="D328" s="288"/>
      <c r="E328" s="165"/>
      <c r="F328" s="167" t="s">
        <v>472</v>
      </c>
      <c r="G328" s="188" t="s">
        <v>436</v>
      </c>
      <c r="H328" s="168">
        <v>90</v>
      </c>
      <c r="I328" s="188" t="s">
        <v>436</v>
      </c>
      <c r="J328" s="168" t="s">
        <v>472</v>
      </c>
      <c r="K328" s="188" t="s">
        <v>436</v>
      </c>
      <c r="L328" s="168" t="s">
        <v>535</v>
      </c>
      <c r="M328" s="168">
        <v>79</v>
      </c>
      <c r="N328" s="157" t="str">
        <f>IF(M328=C328,"-","")</f>
        <v/>
      </c>
      <c r="O328" s="168"/>
      <c r="P328" s="196"/>
      <c r="Q328" s="196"/>
      <c r="R328" s="196"/>
      <c r="S328" s="165"/>
      <c r="T328" s="167"/>
      <c r="U328" s="167"/>
      <c r="V328" s="167"/>
      <c r="W328" s="167"/>
      <c r="X328" s="167"/>
      <c r="Y328" s="197"/>
      <c r="Z328" s="158" t="str">
        <f>IF(SUM(M328,N328)=C328,"DONE"," ")</f>
        <v xml:space="preserve"> </v>
      </c>
      <c r="AA328" s="198">
        <v>46020</v>
      </c>
      <c r="AC328" s="134" t="s">
        <v>570</v>
      </c>
      <c r="AD328" s="124"/>
      <c r="AF328"/>
      <c r="AG328"/>
      <c r="AH328"/>
    </row>
    <row r="329" spans="1:34" s="101" customFormat="1" ht="15.75">
      <c r="A329" s="116" t="s">
        <v>636</v>
      </c>
      <c r="B329" s="166">
        <v>45998</v>
      </c>
      <c r="C329" s="167">
        <v>90</v>
      </c>
      <c r="D329" s="288"/>
      <c r="E329" s="165"/>
      <c r="F329" s="167" t="s">
        <v>470</v>
      </c>
      <c r="G329" s="188" t="s">
        <v>436</v>
      </c>
      <c r="H329" s="168">
        <v>90</v>
      </c>
      <c r="I329" s="188" t="s">
        <v>436</v>
      </c>
      <c r="J329" s="168" t="s">
        <v>472</v>
      </c>
      <c r="K329" s="188" t="s">
        <v>436</v>
      </c>
      <c r="L329" s="168" t="s">
        <v>535</v>
      </c>
      <c r="M329" s="168">
        <v>87</v>
      </c>
      <c r="N329" s="157" t="str">
        <f>IF(M329=C329,"-","")</f>
        <v/>
      </c>
      <c r="O329" s="168"/>
      <c r="P329" s="196"/>
      <c r="Q329" s="196"/>
      <c r="R329" s="196"/>
      <c r="S329" s="165"/>
      <c r="T329" s="167"/>
      <c r="U329" s="167"/>
      <c r="V329" s="167"/>
      <c r="W329" s="167"/>
      <c r="X329" s="167"/>
      <c r="Y329" s="197"/>
      <c r="Z329" s="158" t="str">
        <f>IF(SUM(M329,N329)=C329,"DONE"," ")</f>
        <v xml:space="preserve"> </v>
      </c>
      <c r="AA329" s="198">
        <v>46000</v>
      </c>
      <c r="AC329" s="134" t="s">
        <v>570</v>
      </c>
      <c r="AD329" s="124"/>
      <c r="AE329" s="101" t="s">
        <v>637</v>
      </c>
      <c r="AF329"/>
      <c r="AG329"/>
      <c r="AH329"/>
    </row>
    <row r="330" spans="1:34" s="101" customFormat="1" ht="15.75">
      <c r="A330" s="116" t="s">
        <v>638</v>
      </c>
      <c r="B330" s="166">
        <v>45999</v>
      </c>
      <c r="C330" s="167">
        <v>90</v>
      </c>
      <c r="D330" s="288"/>
      <c r="E330" s="165"/>
      <c r="F330" s="167" t="s">
        <v>470</v>
      </c>
      <c r="G330" s="188" t="s">
        <v>436</v>
      </c>
      <c r="H330" s="168">
        <v>90</v>
      </c>
      <c r="I330" s="188" t="s">
        <v>436</v>
      </c>
      <c r="J330" s="168" t="s">
        <v>472</v>
      </c>
      <c r="K330" s="188" t="s">
        <v>436</v>
      </c>
      <c r="L330" s="168" t="s">
        <v>535</v>
      </c>
      <c r="M330" s="168">
        <v>88</v>
      </c>
      <c r="N330" s="157" t="str">
        <f>IF(M330=C330,"-","")</f>
        <v/>
      </c>
      <c r="O330" s="168"/>
      <c r="P330" s="196"/>
      <c r="Q330" s="196"/>
      <c r="R330" s="196"/>
      <c r="S330" s="165"/>
      <c r="T330" s="167"/>
      <c r="U330" s="167"/>
      <c r="V330" s="167"/>
      <c r="W330" s="167"/>
      <c r="X330" s="167"/>
      <c r="Y330" s="197"/>
      <c r="Z330" s="158" t="str">
        <f>IF(SUM(M330,N330)=C330,"DONE"," ")</f>
        <v xml:space="preserve"> </v>
      </c>
      <c r="AA330" s="198">
        <v>46006</v>
      </c>
      <c r="AC330" s="134" t="s">
        <v>570</v>
      </c>
      <c r="AD330" s="124"/>
      <c r="AF330"/>
      <c r="AG330"/>
      <c r="AH330"/>
    </row>
    <row r="331" spans="1:34" s="101" customFormat="1" ht="15.75">
      <c r="A331" s="116" t="s">
        <v>639</v>
      </c>
      <c r="B331" s="166">
        <v>45999</v>
      </c>
      <c r="C331" s="167">
        <v>90</v>
      </c>
      <c r="D331" s="288"/>
      <c r="E331" s="165"/>
      <c r="F331" s="167" t="s">
        <v>473</v>
      </c>
      <c r="G331" s="188" t="s">
        <v>436</v>
      </c>
      <c r="H331" s="168">
        <v>90</v>
      </c>
      <c r="I331" s="188" t="s">
        <v>436</v>
      </c>
      <c r="J331" s="168" t="s">
        <v>472</v>
      </c>
      <c r="K331" s="188" t="s">
        <v>436</v>
      </c>
      <c r="L331" s="168" t="s">
        <v>535</v>
      </c>
      <c r="M331" s="168">
        <v>89</v>
      </c>
      <c r="N331" s="157" t="str">
        <f>IF(M331=C331,"-","")</f>
        <v/>
      </c>
      <c r="O331" s="168"/>
      <c r="P331" s="196"/>
      <c r="Q331" s="196"/>
      <c r="R331" s="196"/>
      <c r="S331" s="165"/>
      <c r="T331" s="167"/>
      <c r="U331" s="167"/>
      <c r="V331" s="167"/>
      <c r="W331" s="167"/>
      <c r="X331" s="167"/>
      <c r="Y331" s="197"/>
      <c r="Z331" s="158" t="str">
        <f>IF(SUM(M331,N331)=C331,"DONE"," ")</f>
        <v xml:space="preserve"> </v>
      </c>
      <c r="AA331" s="198">
        <v>46002</v>
      </c>
      <c r="AC331" s="134" t="s">
        <v>570</v>
      </c>
      <c r="AD331" s="124"/>
      <c r="AF331"/>
      <c r="AG331"/>
      <c r="AH331"/>
    </row>
    <row r="332" spans="1:34" ht="15.75">
      <c r="A332" s="116" t="s">
        <v>640</v>
      </c>
      <c r="B332" s="166">
        <v>45999</v>
      </c>
      <c r="C332" s="167">
        <v>90</v>
      </c>
      <c r="D332" s="288"/>
      <c r="E332" s="165"/>
      <c r="F332" s="167" t="s">
        <v>540</v>
      </c>
      <c r="G332" s="188" t="s">
        <v>436</v>
      </c>
      <c r="H332" s="168">
        <v>90</v>
      </c>
      <c r="I332" s="188" t="s">
        <v>436</v>
      </c>
      <c r="J332" s="168" t="s">
        <v>472</v>
      </c>
      <c r="K332" s="188" t="s">
        <v>436</v>
      </c>
      <c r="L332" s="168" t="s">
        <v>535</v>
      </c>
      <c r="M332" s="168">
        <v>88</v>
      </c>
      <c r="N332" s="157" t="str">
        <f>IF(M332=C332,"-","")</f>
        <v/>
      </c>
      <c r="O332" s="168"/>
      <c r="P332" s="196"/>
      <c r="Q332" s="196"/>
      <c r="R332" s="196"/>
      <c r="S332" s="165"/>
      <c r="T332" s="167"/>
      <c r="U332" s="167"/>
      <c r="V332" s="167"/>
      <c r="W332" s="167"/>
      <c r="X332" s="167"/>
      <c r="Y332" s="197"/>
      <c r="Z332" s="158" t="str">
        <f>IF(SUM(M332,N332)=C332,"DONE"," ")</f>
        <v xml:space="preserve"> </v>
      </c>
      <c r="AA332" s="198">
        <v>46002</v>
      </c>
      <c r="AC332" s="134" t="s">
        <v>570</v>
      </c>
      <c r="AE332" s="101"/>
    </row>
    <row r="333" spans="1:34" s="101" customFormat="1" ht="15.75">
      <c r="A333" s="116" t="s">
        <v>641</v>
      </c>
      <c r="B333" s="166">
        <v>46000</v>
      </c>
      <c r="C333" s="167">
        <v>90</v>
      </c>
      <c r="D333" s="288"/>
      <c r="E333" s="165"/>
      <c r="F333" s="167" t="s">
        <v>470</v>
      </c>
      <c r="G333" s="188" t="s">
        <v>436</v>
      </c>
      <c r="H333" s="168">
        <v>90</v>
      </c>
      <c r="I333" s="188" t="s">
        <v>436</v>
      </c>
      <c r="J333" s="168" t="s">
        <v>472</v>
      </c>
      <c r="K333" s="188" t="s">
        <v>436</v>
      </c>
      <c r="L333" s="168" t="s">
        <v>535</v>
      </c>
      <c r="M333" s="168">
        <v>89</v>
      </c>
      <c r="N333" s="157" t="str">
        <f>IF(M333=C333,"-","")</f>
        <v/>
      </c>
      <c r="O333" s="168"/>
      <c r="P333" s="196"/>
      <c r="Q333" s="196"/>
      <c r="R333" s="196"/>
      <c r="S333" s="165"/>
      <c r="T333" s="167"/>
      <c r="U333" s="167"/>
      <c r="V333" s="167"/>
      <c r="W333" s="167"/>
      <c r="X333" s="167"/>
      <c r="Y333" s="197"/>
      <c r="Z333" s="158" t="str">
        <f>IF(SUM(M333,N333)=C333,"DONE"," ")</f>
        <v xml:space="preserve"> </v>
      </c>
      <c r="AA333" s="198">
        <v>46002</v>
      </c>
      <c r="AC333" s="134" t="s">
        <v>570</v>
      </c>
      <c r="AD333" s="124"/>
    </row>
    <row r="334" spans="1:34" s="101" customFormat="1" ht="15.75">
      <c r="A334" s="116" t="s">
        <v>642</v>
      </c>
      <c r="B334" s="166">
        <v>46001</v>
      </c>
      <c r="C334" s="167">
        <v>90</v>
      </c>
      <c r="D334" s="288"/>
      <c r="E334" s="165"/>
      <c r="F334" s="167" t="s">
        <v>473</v>
      </c>
      <c r="G334" s="188" t="s">
        <v>436</v>
      </c>
      <c r="H334" s="168">
        <v>90</v>
      </c>
      <c r="I334" s="188" t="s">
        <v>436</v>
      </c>
      <c r="J334" s="168" t="s">
        <v>643</v>
      </c>
      <c r="K334" s="188" t="s">
        <v>436</v>
      </c>
      <c r="L334" s="168" t="s">
        <v>535</v>
      </c>
      <c r="M334" s="168">
        <v>88</v>
      </c>
      <c r="N334" s="157" t="str">
        <f>IF(M334=C334,"-","")</f>
        <v/>
      </c>
      <c r="O334" s="168"/>
      <c r="P334" s="196"/>
      <c r="Q334" s="196"/>
      <c r="R334" s="196"/>
      <c r="S334" s="165"/>
      <c r="T334" s="167"/>
      <c r="U334" s="167"/>
      <c r="V334" s="167"/>
      <c r="W334" s="167"/>
      <c r="X334" s="167"/>
      <c r="Y334" s="197"/>
      <c r="Z334" s="158" t="str">
        <f>IF(SUM(M334,N334)=C334,"DONE"," ")</f>
        <v xml:space="preserve"> </v>
      </c>
      <c r="AA334" s="198">
        <v>46006</v>
      </c>
      <c r="AC334" s="134" t="s">
        <v>570</v>
      </c>
      <c r="AD334" s="124"/>
    </row>
    <row r="335" spans="1:34" s="101" customFormat="1" ht="15.75">
      <c r="A335" s="155" t="s">
        <v>644</v>
      </c>
      <c r="B335" s="153">
        <v>46001</v>
      </c>
      <c r="C335" s="154">
        <v>90</v>
      </c>
      <c r="D335" s="289"/>
      <c r="E335" s="152"/>
      <c r="F335" s="154" t="s">
        <v>540</v>
      </c>
      <c r="G335" s="188" t="s">
        <v>436</v>
      </c>
      <c r="H335" s="131">
        <v>90</v>
      </c>
      <c r="I335" s="188" t="s">
        <v>436</v>
      </c>
      <c r="J335" s="131" t="s">
        <v>645</v>
      </c>
      <c r="K335" s="188" t="s">
        <v>436</v>
      </c>
      <c r="L335" s="131" t="s">
        <v>535</v>
      </c>
      <c r="M335" s="168">
        <v>90</v>
      </c>
      <c r="N335" s="75" t="str">
        <f>IF(M335=C335,"-","")</f>
        <v>-</v>
      </c>
      <c r="O335" s="99"/>
      <c r="P335" s="100"/>
      <c r="Q335" s="100"/>
      <c r="R335" s="100"/>
      <c r="S335" s="96"/>
      <c r="T335" s="98"/>
      <c r="U335" s="98"/>
      <c r="V335" s="98"/>
      <c r="W335" s="98"/>
      <c r="X335" s="98"/>
      <c r="Z335" s="82" t="str">
        <f>IF(SUM(M335,N335)=C335,"DONE"," ")</f>
        <v>DONE</v>
      </c>
      <c r="AA335" s="198">
        <v>46003</v>
      </c>
      <c r="AC335" s="134" t="s">
        <v>570</v>
      </c>
      <c r="AD335" s="124"/>
    </row>
    <row r="336" spans="1:34" s="101" customFormat="1" ht="15.75">
      <c r="A336" s="116" t="s">
        <v>646</v>
      </c>
      <c r="B336" s="166">
        <v>46002</v>
      </c>
      <c r="C336" s="167">
        <v>90</v>
      </c>
      <c r="D336" s="288"/>
      <c r="E336" s="165"/>
      <c r="F336" s="167" t="s">
        <v>478</v>
      </c>
      <c r="G336" s="188" t="s">
        <v>436</v>
      </c>
      <c r="H336" s="168">
        <v>90</v>
      </c>
      <c r="I336" s="188" t="s">
        <v>436</v>
      </c>
      <c r="J336" s="168" t="s">
        <v>472</v>
      </c>
      <c r="K336" s="188" t="s">
        <v>436</v>
      </c>
      <c r="L336" s="168" t="s">
        <v>535</v>
      </c>
      <c r="M336" s="168">
        <v>89</v>
      </c>
      <c r="N336" s="157" t="str">
        <f>IF(M336=C336,"-","")</f>
        <v/>
      </c>
      <c r="O336" s="168"/>
      <c r="P336" s="196"/>
      <c r="Q336" s="196"/>
      <c r="R336" s="196"/>
      <c r="S336" s="165"/>
      <c r="T336" s="167"/>
      <c r="U336" s="167"/>
      <c r="V336" s="167"/>
      <c r="W336" s="167"/>
      <c r="X336" s="167"/>
      <c r="Y336" s="197"/>
      <c r="Z336" s="158" t="str">
        <f>IF(SUM(M336,N336)=C336,"DONE"," ")</f>
        <v xml:space="preserve"> </v>
      </c>
      <c r="AA336" s="198">
        <v>46003</v>
      </c>
      <c r="AC336" s="134" t="s">
        <v>570</v>
      </c>
      <c r="AD336" s="124"/>
    </row>
    <row r="337" spans="1:30" ht="15.75">
      <c r="A337" s="116" t="s">
        <v>647</v>
      </c>
      <c r="B337" s="166">
        <v>46006</v>
      </c>
      <c r="C337" s="167">
        <v>90</v>
      </c>
      <c r="D337" s="288"/>
      <c r="E337" s="165"/>
      <c r="F337" s="167" t="s">
        <v>540</v>
      </c>
      <c r="G337" s="188" t="s">
        <v>436</v>
      </c>
      <c r="H337" s="168">
        <v>90</v>
      </c>
      <c r="I337" s="188" t="s">
        <v>436</v>
      </c>
      <c r="J337" s="168" t="s">
        <v>472</v>
      </c>
      <c r="K337" s="188" t="s">
        <v>436</v>
      </c>
      <c r="L337" s="168" t="s">
        <v>535</v>
      </c>
      <c r="M337" s="168">
        <v>89</v>
      </c>
      <c r="N337" s="157" t="str">
        <f>IF(M337=C337,"-","")</f>
        <v/>
      </c>
      <c r="O337" s="168"/>
      <c r="P337" s="196"/>
      <c r="Q337" s="196"/>
      <c r="R337" s="196"/>
      <c r="S337" s="165"/>
      <c r="T337" s="167"/>
      <c r="U337" s="167"/>
      <c r="V337" s="167"/>
      <c r="W337" s="167"/>
      <c r="X337" s="167"/>
      <c r="Y337" s="197"/>
      <c r="Z337" s="158" t="str">
        <f>IF(SUM(M337,N337)=C337,"DONE"," ")</f>
        <v xml:space="preserve"> </v>
      </c>
      <c r="AA337" s="198">
        <v>46008</v>
      </c>
      <c r="AC337" s="134" t="s">
        <v>570</v>
      </c>
    </row>
    <row r="338" spans="1:30" s="101" customFormat="1" ht="15.75">
      <c r="A338" s="116" t="s">
        <v>648</v>
      </c>
      <c r="B338" s="166">
        <v>46006</v>
      </c>
      <c r="C338" s="167">
        <v>90</v>
      </c>
      <c r="D338" s="288"/>
      <c r="E338" s="165"/>
      <c r="F338" s="167" t="s">
        <v>472</v>
      </c>
      <c r="G338" s="188" t="s">
        <v>436</v>
      </c>
      <c r="H338" s="168">
        <v>90</v>
      </c>
      <c r="I338" s="188" t="s">
        <v>436</v>
      </c>
      <c r="J338" s="168" t="s">
        <v>472</v>
      </c>
      <c r="K338" s="188" t="s">
        <v>436</v>
      </c>
      <c r="L338" s="168" t="s">
        <v>535</v>
      </c>
      <c r="M338" s="168">
        <v>88</v>
      </c>
      <c r="N338" s="157" t="str">
        <f>IF(M338=C338,"-","")</f>
        <v/>
      </c>
      <c r="O338" s="168"/>
      <c r="P338" s="196"/>
      <c r="Q338" s="196"/>
      <c r="R338" s="196"/>
      <c r="S338" s="165"/>
      <c r="T338" s="167"/>
      <c r="U338" s="167"/>
      <c r="V338" s="167"/>
      <c r="W338" s="167"/>
      <c r="X338" s="167"/>
      <c r="Y338" s="197"/>
      <c r="Z338" s="158" t="str">
        <f>IF(SUM(M338,N338)=C338,"DONE"," ")</f>
        <v xml:space="preserve"> </v>
      </c>
      <c r="AA338" s="198">
        <v>46007</v>
      </c>
      <c r="AC338" s="134" t="s">
        <v>570</v>
      </c>
      <c r="AD338" s="124"/>
    </row>
    <row r="339" spans="1:30" s="101" customFormat="1" ht="15.75">
      <c r="A339" s="116" t="s">
        <v>649</v>
      </c>
      <c r="B339" s="166">
        <v>46006</v>
      </c>
      <c r="C339" s="167">
        <v>90</v>
      </c>
      <c r="D339" s="288"/>
      <c r="E339" s="165"/>
      <c r="F339" s="167" t="s">
        <v>469</v>
      </c>
      <c r="G339" s="188" t="s">
        <v>436</v>
      </c>
      <c r="H339" s="168">
        <v>90</v>
      </c>
      <c r="I339" s="188" t="s">
        <v>436</v>
      </c>
      <c r="J339" s="168" t="s">
        <v>469</v>
      </c>
      <c r="K339" s="188" t="s">
        <v>436</v>
      </c>
      <c r="L339" s="168" t="s">
        <v>535</v>
      </c>
      <c r="M339" s="168">
        <v>88</v>
      </c>
      <c r="N339" s="157" t="str">
        <f>IF(M339=C339,"-","")</f>
        <v/>
      </c>
      <c r="O339" s="168"/>
      <c r="P339" s="196"/>
      <c r="Q339" s="196"/>
      <c r="R339" s="196"/>
      <c r="S339" s="165"/>
      <c r="T339" s="167"/>
      <c r="U339" s="167"/>
      <c r="V339" s="167"/>
      <c r="W339" s="167"/>
      <c r="X339" s="167"/>
      <c r="Y339" s="197"/>
      <c r="Z339" s="158" t="str">
        <f>IF(SUM(M339,N339)=C339,"DONE"," ")</f>
        <v xml:space="preserve"> </v>
      </c>
      <c r="AA339" s="198">
        <v>46007</v>
      </c>
      <c r="AC339" s="134" t="s">
        <v>570</v>
      </c>
      <c r="AD339" s="124"/>
    </row>
    <row r="340" spans="1:30" s="101" customFormat="1" ht="15.75">
      <c r="A340" s="115" t="s">
        <v>650</v>
      </c>
      <c r="B340" s="166">
        <v>46006</v>
      </c>
      <c r="C340" s="167">
        <v>90</v>
      </c>
      <c r="D340" s="288"/>
      <c r="E340" s="165"/>
      <c r="F340" s="167" t="s">
        <v>473</v>
      </c>
      <c r="G340" s="188" t="s">
        <v>436</v>
      </c>
      <c r="H340" s="168">
        <v>90</v>
      </c>
      <c r="I340" s="188" t="s">
        <v>436</v>
      </c>
      <c r="J340" s="168" t="s">
        <v>643</v>
      </c>
      <c r="K340" s="188" t="s">
        <v>436</v>
      </c>
      <c r="L340" s="168" t="s">
        <v>535</v>
      </c>
      <c r="M340" s="168">
        <v>86</v>
      </c>
      <c r="N340" s="157" t="str">
        <f>IF(M340=C340,"-","")</f>
        <v/>
      </c>
      <c r="O340" s="168"/>
      <c r="P340" s="196"/>
      <c r="Q340" s="196"/>
      <c r="R340" s="196"/>
      <c r="S340" s="165"/>
      <c r="T340" s="167"/>
      <c r="U340" s="167"/>
      <c r="V340" s="167"/>
      <c r="W340" s="167"/>
      <c r="X340" s="167"/>
      <c r="Y340" s="197"/>
      <c r="Z340" s="158" t="str">
        <f>IF(SUM(M340,N340)=C340,"DONE"," ")</f>
        <v xml:space="preserve"> </v>
      </c>
      <c r="AA340" s="198">
        <v>46008</v>
      </c>
      <c r="AC340" s="134" t="s">
        <v>570</v>
      </c>
      <c r="AD340" s="124"/>
    </row>
    <row r="341" spans="1:30" s="101" customFormat="1" ht="15.75">
      <c r="A341" s="116" t="s">
        <v>651</v>
      </c>
      <c r="B341" s="166">
        <v>46007</v>
      </c>
      <c r="C341" s="167">
        <v>90</v>
      </c>
      <c r="D341" s="288"/>
      <c r="E341" s="165"/>
      <c r="F341" s="167" t="s">
        <v>540</v>
      </c>
      <c r="G341" s="188" t="s">
        <v>436</v>
      </c>
      <c r="H341" s="168">
        <v>90</v>
      </c>
      <c r="I341" s="188" t="s">
        <v>436</v>
      </c>
      <c r="J341" s="168" t="s">
        <v>472</v>
      </c>
      <c r="K341" s="188" t="s">
        <v>436</v>
      </c>
      <c r="L341" s="168" t="s">
        <v>535</v>
      </c>
      <c r="M341" s="168">
        <v>89</v>
      </c>
      <c r="N341" s="157" t="str">
        <f>IF(M341=C341,"-","")</f>
        <v/>
      </c>
      <c r="O341" s="168"/>
      <c r="P341" s="196"/>
      <c r="Q341" s="196"/>
      <c r="R341" s="196"/>
      <c r="S341" s="165"/>
      <c r="T341" s="167"/>
      <c r="U341" s="167"/>
      <c r="V341" s="167"/>
      <c r="W341" s="167"/>
      <c r="X341" s="167"/>
      <c r="Y341" s="197"/>
      <c r="Z341" s="158" t="str">
        <f>IF(SUM(M341,N341)=C341,"DONE"," ")</f>
        <v xml:space="preserve"> </v>
      </c>
      <c r="AA341" s="198">
        <v>46008</v>
      </c>
      <c r="AC341" s="134" t="s">
        <v>570</v>
      </c>
      <c r="AD341" s="124"/>
    </row>
    <row r="342" spans="1:30" s="101" customFormat="1" ht="15.75">
      <c r="A342" s="116" t="s">
        <v>652</v>
      </c>
      <c r="B342" s="166">
        <v>46007</v>
      </c>
      <c r="C342" s="167">
        <v>90</v>
      </c>
      <c r="D342" s="288"/>
      <c r="E342" s="165"/>
      <c r="F342" s="167" t="s">
        <v>540</v>
      </c>
      <c r="G342" s="188" t="s">
        <v>436</v>
      </c>
      <c r="H342" s="168">
        <v>90</v>
      </c>
      <c r="I342" s="188" t="s">
        <v>436</v>
      </c>
      <c r="J342" s="168" t="s">
        <v>472</v>
      </c>
      <c r="K342" s="188" t="s">
        <v>436</v>
      </c>
      <c r="L342" s="168" t="s">
        <v>535</v>
      </c>
      <c r="M342" s="168">
        <v>89</v>
      </c>
      <c r="N342" s="157" t="str">
        <f>IF(M342=C342,"-","")</f>
        <v/>
      </c>
      <c r="O342" s="168"/>
      <c r="P342" s="196"/>
      <c r="Q342" s="196"/>
      <c r="R342" s="196"/>
      <c r="S342" s="165"/>
      <c r="T342" s="167"/>
      <c r="U342" s="167"/>
      <c r="V342" s="167"/>
      <c r="W342" s="167"/>
      <c r="X342" s="167"/>
      <c r="Y342" s="197"/>
      <c r="Z342" s="158" t="str">
        <f>IF(SUM(M342,N342)=C342,"DONE"," ")</f>
        <v xml:space="preserve"> </v>
      </c>
      <c r="AA342" s="198">
        <v>46009</v>
      </c>
      <c r="AC342" s="134" t="s">
        <v>570</v>
      </c>
      <c r="AD342" s="124"/>
    </row>
    <row r="343" spans="1:30" ht="15.75">
      <c r="A343" s="116" t="s">
        <v>653</v>
      </c>
      <c r="B343" s="166">
        <v>46008</v>
      </c>
      <c r="C343" s="167">
        <v>90</v>
      </c>
      <c r="D343" s="288"/>
      <c r="E343" s="165"/>
      <c r="F343" s="167" t="s">
        <v>473</v>
      </c>
      <c r="G343" s="188" t="s">
        <v>436</v>
      </c>
      <c r="H343" s="168">
        <v>90</v>
      </c>
      <c r="I343" s="188" t="s">
        <v>436</v>
      </c>
      <c r="J343" s="168" t="s">
        <v>472</v>
      </c>
      <c r="K343" s="188" t="s">
        <v>436</v>
      </c>
      <c r="L343" s="168" t="s">
        <v>535</v>
      </c>
      <c r="M343" s="168">
        <v>90</v>
      </c>
      <c r="N343" s="75" t="str">
        <f>IF(M343=C343,"-","")</f>
        <v>-</v>
      </c>
      <c r="Z343" s="82" t="str">
        <f>IF(SUM(M343,N343)=C343,"DONE"," ")</f>
        <v>DONE</v>
      </c>
      <c r="AA343" s="137">
        <v>46009</v>
      </c>
      <c r="AC343" s="134" t="s">
        <v>570</v>
      </c>
    </row>
    <row r="344" spans="1:30" ht="15.75">
      <c r="A344" s="116" t="s">
        <v>654</v>
      </c>
      <c r="B344" s="166">
        <v>46008</v>
      </c>
      <c r="C344" s="167">
        <v>90</v>
      </c>
      <c r="D344" s="288"/>
      <c r="E344" s="165"/>
      <c r="F344" s="167" t="s">
        <v>469</v>
      </c>
      <c r="G344" s="188" t="s">
        <v>436</v>
      </c>
      <c r="H344" s="168">
        <v>90</v>
      </c>
      <c r="I344" s="188" t="s">
        <v>436</v>
      </c>
      <c r="J344" s="168" t="s">
        <v>472</v>
      </c>
      <c r="K344" s="188" t="s">
        <v>436</v>
      </c>
      <c r="L344" s="168" t="s">
        <v>535</v>
      </c>
      <c r="M344" s="168">
        <v>84</v>
      </c>
      <c r="N344" s="157" t="str">
        <f>IF(M344=C344,"-","")</f>
        <v/>
      </c>
      <c r="O344" s="168"/>
      <c r="P344" s="196"/>
      <c r="Q344" s="196"/>
      <c r="R344" s="196"/>
      <c r="S344" s="165"/>
      <c r="T344" s="167"/>
      <c r="U344" s="167"/>
      <c r="V344" s="167"/>
      <c r="W344" s="167"/>
      <c r="X344" s="167"/>
      <c r="Y344" s="197"/>
      <c r="Z344" s="158" t="str">
        <f>IF(SUM(M344,N344)=C344,"DONE"," ")</f>
        <v xml:space="preserve"> </v>
      </c>
      <c r="AA344" s="198">
        <v>46009</v>
      </c>
      <c r="AC344" s="134" t="s">
        <v>570</v>
      </c>
    </row>
    <row r="345" spans="1:30" ht="15.75">
      <c r="A345" s="119" t="s">
        <v>655</v>
      </c>
      <c r="B345" s="97">
        <v>46008</v>
      </c>
      <c r="C345" s="98">
        <v>90</v>
      </c>
      <c r="D345" s="286"/>
      <c r="E345" s="27"/>
      <c r="F345" s="98" t="s">
        <v>540</v>
      </c>
      <c r="G345" s="188" t="s">
        <v>436</v>
      </c>
      <c r="H345" s="99">
        <v>90</v>
      </c>
      <c r="I345" s="188" t="s">
        <v>436</v>
      </c>
      <c r="J345" s="99" t="s">
        <v>472</v>
      </c>
      <c r="K345" s="188" t="s">
        <v>436</v>
      </c>
      <c r="L345" s="99" t="s">
        <v>535</v>
      </c>
      <c r="M345" s="30">
        <v>90</v>
      </c>
      <c r="N345" s="75" t="str">
        <f>IF(M345=C345,"-","")</f>
        <v>-</v>
      </c>
      <c r="Z345" s="82" t="str">
        <f>IF(SUM(M345,N345)=C345,"DONE"," ")</f>
        <v>DONE</v>
      </c>
      <c r="AA345" s="198">
        <v>46010</v>
      </c>
      <c r="AC345" s="134" t="s">
        <v>570</v>
      </c>
    </row>
    <row r="346" spans="1:30" ht="15.75">
      <c r="A346" s="116" t="s">
        <v>656</v>
      </c>
      <c r="B346" s="166">
        <v>46009</v>
      </c>
      <c r="C346" s="167">
        <v>90</v>
      </c>
      <c r="D346" s="288"/>
      <c r="E346" s="165"/>
      <c r="F346" s="167" t="s">
        <v>494</v>
      </c>
      <c r="G346" s="188" t="s">
        <v>436</v>
      </c>
      <c r="H346" s="168">
        <v>90</v>
      </c>
      <c r="I346" s="188" t="s">
        <v>436</v>
      </c>
      <c r="J346" s="168" t="s">
        <v>472</v>
      </c>
      <c r="K346" s="188" t="s">
        <v>436</v>
      </c>
      <c r="L346" s="168" t="s">
        <v>535</v>
      </c>
      <c r="M346" s="168">
        <v>87</v>
      </c>
      <c r="N346" s="157" t="str">
        <f>IF(M346=C346,"-","")</f>
        <v/>
      </c>
      <c r="O346" s="168"/>
      <c r="P346" s="196"/>
      <c r="Q346" s="196"/>
      <c r="R346" s="196"/>
      <c r="S346" s="165"/>
      <c r="T346" s="167"/>
      <c r="U346" s="167"/>
      <c r="V346" s="167"/>
      <c r="W346" s="167"/>
      <c r="X346" s="167"/>
      <c r="Y346" s="197"/>
      <c r="Z346" s="158" t="str">
        <f>IF(SUM(M346,N346)=C346,"DONE"," ")</f>
        <v xml:space="preserve"> </v>
      </c>
      <c r="AA346" s="198">
        <v>46013</v>
      </c>
      <c r="AC346" s="134" t="s">
        <v>570</v>
      </c>
    </row>
    <row r="347" spans="1:30" ht="15.75">
      <c r="A347" s="116" t="s">
        <v>657</v>
      </c>
      <c r="B347" s="166">
        <v>46009</v>
      </c>
      <c r="C347" s="167">
        <v>90</v>
      </c>
      <c r="D347" s="288"/>
      <c r="E347" s="165"/>
      <c r="F347" s="167" t="s">
        <v>469</v>
      </c>
      <c r="G347" s="188" t="s">
        <v>436</v>
      </c>
      <c r="H347" s="168">
        <v>90</v>
      </c>
      <c r="I347" s="188" t="s">
        <v>436</v>
      </c>
      <c r="J347" s="168" t="s">
        <v>472</v>
      </c>
      <c r="K347" s="188" t="s">
        <v>436</v>
      </c>
      <c r="L347" s="168" t="s">
        <v>535</v>
      </c>
      <c r="M347" s="168">
        <v>88</v>
      </c>
      <c r="N347" s="157" t="str">
        <f>IF(M347=C347,"-","")</f>
        <v/>
      </c>
      <c r="O347" s="168"/>
      <c r="P347" s="196"/>
      <c r="Q347" s="196"/>
      <c r="R347" s="196"/>
      <c r="S347" s="165"/>
      <c r="T347" s="167"/>
      <c r="U347" s="167"/>
      <c r="V347" s="167"/>
      <c r="W347" s="167"/>
      <c r="X347" s="167"/>
      <c r="Y347" s="197"/>
      <c r="Z347" s="158" t="str">
        <f>IF(SUM(M347,N347)=C347,"DONE"," ")</f>
        <v xml:space="preserve"> </v>
      </c>
      <c r="AA347" s="198">
        <v>46010</v>
      </c>
      <c r="AC347" s="134" t="s">
        <v>570</v>
      </c>
    </row>
    <row r="348" spans="1:30" ht="15.75">
      <c r="A348" s="116" t="s">
        <v>658</v>
      </c>
      <c r="B348" s="166">
        <v>46009</v>
      </c>
      <c r="C348" s="167">
        <v>90</v>
      </c>
      <c r="D348" s="288"/>
      <c r="E348" s="165"/>
      <c r="F348" s="167" t="s">
        <v>562</v>
      </c>
      <c r="G348" s="188" t="s">
        <v>436</v>
      </c>
      <c r="H348" s="168">
        <v>90</v>
      </c>
      <c r="I348" s="188" t="s">
        <v>436</v>
      </c>
      <c r="J348" s="168" t="s">
        <v>472</v>
      </c>
      <c r="K348" s="188" t="s">
        <v>436</v>
      </c>
      <c r="L348" s="168" t="s">
        <v>535</v>
      </c>
      <c r="M348" s="168">
        <v>90</v>
      </c>
      <c r="N348" s="157" t="str">
        <f>IF(M348=C348,"-","")</f>
        <v>-</v>
      </c>
      <c r="O348" s="168"/>
      <c r="P348" s="196"/>
      <c r="Q348" s="196"/>
      <c r="R348" s="196"/>
      <c r="S348" s="165"/>
      <c r="T348" s="167"/>
      <c r="U348" s="167"/>
      <c r="V348" s="167"/>
      <c r="W348" s="167"/>
      <c r="X348" s="167"/>
      <c r="Y348" s="197"/>
      <c r="Z348" s="158" t="str">
        <f>IF(SUM(M348,N348)=C348,"DONE"," ")</f>
        <v>DONE</v>
      </c>
      <c r="AA348" s="198">
        <v>46010</v>
      </c>
      <c r="AC348" s="134" t="s">
        <v>570</v>
      </c>
    </row>
    <row r="349" spans="1:30" s="101" customFormat="1" ht="15.75">
      <c r="A349" s="116" t="s">
        <v>659</v>
      </c>
      <c r="B349" s="166">
        <v>46009</v>
      </c>
      <c r="C349" s="167">
        <v>90</v>
      </c>
      <c r="D349" s="288"/>
      <c r="E349" s="165"/>
      <c r="F349" s="167" t="s">
        <v>470</v>
      </c>
      <c r="G349" s="188" t="s">
        <v>436</v>
      </c>
      <c r="H349" s="168">
        <v>90</v>
      </c>
      <c r="I349" s="188" t="s">
        <v>436</v>
      </c>
      <c r="J349" s="168" t="s">
        <v>472</v>
      </c>
      <c r="K349" s="188" t="s">
        <v>436</v>
      </c>
      <c r="L349" s="168" t="s">
        <v>535</v>
      </c>
      <c r="M349" s="168">
        <v>88</v>
      </c>
      <c r="N349" s="157"/>
      <c r="O349" s="168"/>
      <c r="P349" s="196"/>
      <c r="Q349" s="196"/>
      <c r="R349" s="196"/>
      <c r="S349" s="165"/>
      <c r="T349" s="167"/>
      <c r="U349" s="167"/>
      <c r="V349" s="167"/>
      <c r="W349" s="167"/>
      <c r="X349" s="167"/>
      <c r="Y349" s="197"/>
      <c r="Z349" s="158"/>
      <c r="AA349" s="198">
        <v>46013</v>
      </c>
      <c r="AC349" s="134" t="s">
        <v>570</v>
      </c>
      <c r="AD349" s="124"/>
    </row>
    <row r="350" spans="1:30" s="101" customFormat="1" ht="15.75">
      <c r="A350" s="116" t="s">
        <v>660</v>
      </c>
      <c r="B350" s="166">
        <v>46010</v>
      </c>
      <c r="C350" s="167">
        <v>90</v>
      </c>
      <c r="D350" s="288"/>
      <c r="E350" s="165"/>
      <c r="F350" s="167" t="s">
        <v>562</v>
      </c>
      <c r="G350" s="188" t="s">
        <v>436</v>
      </c>
      <c r="H350" s="168">
        <v>90</v>
      </c>
      <c r="I350" s="188" t="s">
        <v>436</v>
      </c>
      <c r="J350" s="168" t="s">
        <v>472</v>
      </c>
      <c r="K350" s="188" t="s">
        <v>436</v>
      </c>
      <c r="L350" s="168" t="s">
        <v>535</v>
      </c>
      <c r="M350" s="168">
        <v>87</v>
      </c>
      <c r="N350" s="157" t="str">
        <f>IF(AND(M350=C350, C350&lt;&gt;""), "-", "")</f>
        <v/>
      </c>
      <c r="O350" s="168"/>
      <c r="P350" s="196"/>
      <c r="Q350" s="196"/>
      <c r="R350" s="196"/>
      <c r="S350" s="165"/>
      <c r="T350" s="167"/>
      <c r="U350" s="167"/>
      <c r="V350" s="167"/>
      <c r="W350" s="167"/>
      <c r="X350" s="167"/>
      <c r="Y350" s="197"/>
      <c r="Z350" s="158" t="str">
        <f>IF(AND(SUM(M350,N350)=C350, C350&lt;&gt;0),"DONE"," ")</f>
        <v xml:space="preserve"> </v>
      </c>
      <c r="AA350" s="198">
        <v>46014</v>
      </c>
      <c r="AC350" s="134" t="s">
        <v>570</v>
      </c>
      <c r="AD350" s="124"/>
    </row>
    <row r="351" spans="1:30" s="101" customFormat="1" ht="15.75">
      <c r="A351" s="116" t="s">
        <v>661</v>
      </c>
      <c r="B351" s="166">
        <v>46013</v>
      </c>
      <c r="C351" s="167">
        <v>90</v>
      </c>
      <c r="D351" s="288"/>
      <c r="E351" s="165"/>
      <c r="F351" s="167" t="s">
        <v>469</v>
      </c>
      <c r="G351" s="188" t="s">
        <v>436</v>
      </c>
      <c r="H351" s="168">
        <v>90</v>
      </c>
      <c r="I351" s="188" t="s">
        <v>436</v>
      </c>
      <c r="J351" s="168" t="s">
        <v>469</v>
      </c>
      <c r="K351" s="188" t="s">
        <v>436</v>
      </c>
      <c r="L351" s="168" t="s">
        <v>535</v>
      </c>
      <c r="M351" s="168">
        <v>90</v>
      </c>
      <c r="N351" s="157" t="str">
        <f>IF(AND(M351=C351, C351&lt;&gt;""), "-", "")</f>
        <v>-</v>
      </c>
      <c r="O351" s="168"/>
      <c r="P351" s="196"/>
      <c r="Q351" s="196"/>
      <c r="R351" s="196"/>
      <c r="S351" s="165"/>
      <c r="T351" s="167"/>
      <c r="U351" s="167"/>
      <c r="V351" s="167"/>
      <c r="W351" s="167"/>
      <c r="X351" s="167"/>
      <c r="Y351" s="197"/>
      <c r="Z351" s="158" t="str">
        <f>IF(AND(SUM(M351,N351)=C351, C351&lt;&gt;0),"DONE"," ")</f>
        <v>DONE</v>
      </c>
      <c r="AA351" s="198">
        <v>46013</v>
      </c>
      <c r="AC351" s="134" t="s">
        <v>570</v>
      </c>
      <c r="AD351" s="124"/>
    </row>
    <row r="352" spans="1:30" s="101" customFormat="1" ht="15.75">
      <c r="A352" s="116" t="s">
        <v>662</v>
      </c>
      <c r="B352" s="166">
        <v>46013</v>
      </c>
      <c r="C352" s="167">
        <v>90</v>
      </c>
      <c r="D352" s="288"/>
      <c r="E352" s="165"/>
      <c r="F352" s="167" t="s">
        <v>562</v>
      </c>
      <c r="G352" s="188" t="s">
        <v>436</v>
      </c>
      <c r="H352" s="168">
        <v>90</v>
      </c>
      <c r="I352" s="188" t="s">
        <v>436</v>
      </c>
      <c r="J352" s="168" t="s">
        <v>472</v>
      </c>
      <c r="K352" s="188" t="s">
        <v>436</v>
      </c>
      <c r="L352" s="168" t="s">
        <v>535</v>
      </c>
      <c r="M352" s="168">
        <v>89</v>
      </c>
      <c r="N352" s="157" t="str">
        <f>IF(AND(M352=C352, C352&lt;&gt;""), "-", "")</f>
        <v/>
      </c>
      <c r="O352" s="168"/>
      <c r="P352" s="196"/>
      <c r="Q352" s="196"/>
      <c r="R352" s="196"/>
      <c r="S352" s="165"/>
      <c r="T352" s="167"/>
      <c r="U352" s="167"/>
      <c r="V352" s="167"/>
      <c r="W352" s="167"/>
      <c r="X352" s="167"/>
      <c r="Y352" s="197"/>
      <c r="Z352" s="158" t="str">
        <f>IF(AND(SUM(M352,N352)=C352, C352&lt;&gt;0),"DONE"," ")</f>
        <v xml:space="preserve"> </v>
      </c>
      <c r="AA352" s="198">
        <v>46014</v>
      </c>
      <c r="AC352" s="134" t="s">
        <v>570</v>
      </c>
      <c r="AD352" s="124"/>
    </row>
    <row r="353" spans="1:30" s="101" customFormat="1" ht="15.75">
      <c r="A353" s="116" t="s">
        <v>663</v>
      </c>
      <c r="B353" s="166">
        <v>46013</v>
      </c>
      <c r="C353" s="167">
        <v>90</v>
      </c>
      <c r="D353" s="288"/>
      <c r="E353" s="165"/>
      <c r="F353" s="167" t="s">
        <v>470</v>
      </c>
      <c r="G353" s="188" t="s">
        <v>436</v>
      </c>
      <c r="H353" s="168">
        <v>90</v>
      </c>
      <c r="I353" s="188" t="s">
        <v>436</v>
      </c>
      <c r="J353" s="168" t="s">
        <v>472</v>
      </c>
      <c r="K353" s="188" t="s">
        <v>436</v>
      </c>
      <c r="L353" s="168" t="s">
        <v>535</v>
      </c>
      <c r="M353" s="168">
        <v>86</v>
      </c>
      <c r="N353" s="157" t="str">
        <f>IF(AND(M353=C353, C353&lt;&gt;""), "-", "")</f>
        <v/>
      </c>
      <c r="O353" s="168"/>
      <c r="P353" s="196"/>
      <c r="Q353" s="196"/>
      <c r="R353" s="196"/>
      <c r="S353" s="165"/>
      <c r="T353" s="167"/>
      <c r="U353" s="167"/>
      <c r="V353" s="167"/>
      <c r="W353" s="167"/>
      <c r="X353" s="167"/>
      <c r="Y353" s="197"/>
      <c r="Z353" s="158" t="str">
        <f>IF(AND(SUM(M353,N353)=C353, C353&lt;&gt;0),"DONE"," ")</f>
        <v xml:space="preserve"> </v>
      </c>
      <c r="AA353" s="198">
        <v>46014</v>
      </c>
      <c r="AC353" s="134" t="s">
        <v>570</v>
      </c>
      <c r="AD353" s="124"/>
    </row>
    <row r="354" spans="1:30" s="101" customFormat="1" ht="15.75">
      <c r="A354" s="116" t="s">
        <v>664</v>
      </c>
      <c r="B354" s="166">
        <v>46013</v>
      </c>
      <c r="C354" s="167">
        <v>90</v>
      </c>
      <c r="D354" s="288"/>
      <c r="E354" s="165"/>
      <c r="F354" s="167" t="s">
        <v>562</v>
      </c>
      <c r="G354" s="188" t="s">
        <v>436</v>
      </c>
      <c r="H354" s="168">
        <v>90</v>
      </c>
      <c r="I354" s="188" t="s">
        <v>436</v>
      </c>
      <c r="J354" s="168" t="s">
        <v>472</v>
      </c>
      <c r="K354" s="188" t="s">
        <v>436</v>
      </c>
      <c r="L354" s="168" t="s">
        <v>535</v>
      </c>
      <c r="M354" s="168">
        <v>84</v>
      </c>
      <c r="N354" s="157" t="str">
        <f>IF(AND(M354=C354, C354&lt;&gt;""), "-", "")</f>
        <v/>
      </c>
      <c r="O354" s="168"/>
      <c r="P354" s="196"/>
      <c r="Q354" s="196"/>
      <c r="R354" s="196"/>
      <c r="S354" s="165"/>
      <c r="T354" s="167"/>
      <c r="U354" s="167"/>
      <c r="V354" s="167"/>
      <c r="W354" s="167"/>
      <c r="X354" s="167"/>
      <c r="Y354" s="197"/>
      <c r="Z354" s="158" t="str">
        <f>IF(AND(SUM(M354,N354)=C354, C354&lt;&gt;0),"DONE"," ")</f>
        <v xml:space="preserve"> </v>
      </c>
      <c r="AA354" s="198">
        <v>46016</v>
      </c>
      <c r="AC354" s="134" t="s">
        <v>570</v>
      </c>
      <c r="AD354" s="124"/>
    </row>
    <row r="355" spans="1:30" s="101" customFormat="1" ht="15.75">
      <c r="A355" s="116" t="s">
        <v>665</v>
      </c>
      <c r="B355" s="166">
        <v>46016</v>
      </c>
      <c r="C355" s="167">
        <v>90</v>
      </c>
      <c r="D355" s="288"/>
      <c r="E355" s="165"/>
      <c r="F355" s="167" t="s">
        <v>540</v>
      </c>
      <c r="G355" s="188" t="s">
        <v>436</v>
      </c>
      <c r="H355" s="168">
        <v>90</v>
      </c>
      <c r="I355" s="188" t="s">
        <v>436</v>
      </c>
      <c r="J355" s="168" t="s">
        <v>472</v>
      </c>
      <c r="K355" s="188" t="s">
        <v>436</v>
      </c>
      <c r="L355" s="168" t="s">
        <v>535</v>
      </c>
      <c r="M355" s="168">
        <v>88</v>
      </c>
      <c r="N355" s="157" t="str">
        <f>IF(AND(M355=C355, C355&lt;&gt;""), "-", "")</f>
        <v/>
      </c>
      <c r="O355" s="168"/>
      <c r="P355" s="196"/>
      <c r="Q355" s="196"/>
      <c r="R355" s="196"/>
      <c r="S355" s="165"/>
      <c r="T355" s="167"/>
      <c r="U355" s="167"/>
      <c r="V355" s="167"/>
      <c r="W355" s="167"/>
      <c r="X355" s="167"/>
      <c r="Y355" s="197"/>
      <c r="Z355" s="158" t="str">
        <f>IF(AND(SUM(M355,N355)=C355, C355&lt;&gt;0),"DONE"," ")</f>
        <v xml:space="preserve"> </v>
      </c>
      <c r="AA355" s="198">
        <v>46017</v>
      </c>
      <c r="AC355" s="134" t="s">
        <v>570</v>
      </c>
      <c r="AD355" s="124"/>
    </row>
    <row r="356" spans="1:30" s="101" customFormat="1">
      <c r="A356" s="176" t="s">
        <v>666</v>
      </c>
      <c r="B356" s="166">
        <v>46016</v>
      </c>
      <c r="C356" s="167">
        <v>90</v>
      </c>
      <c r="D356" s="288"/>
      <c r="E356" s="165"/>
      <c r="F356" s="167" t="s">
        <v>473</v>
      </c>
      <c r="G356" s="188" t="s">
        <v>436</v>
      </c>
      <c r="H356" s="168">
        <v>90</v>
      </c>
      <c r="I356" s="188" t="s">
        <v>436</v>
      </c>
      <c r="J356" s="168" t="s">
        <v>472</v>
      </c>
      <c r="K356" s="188" t="s">
        <v>436</v>
      </c>
      <c r="L356" s="168" t="s">
        <v>535</v>
      </c>
      <c r="M356" s="168">
        <v>86</v>
      </c>
      <c r="N356" s="157" t="str">
        <f>IF(AND(M356=C356, C356&lt;&gt;""), "-", "")</f>
        <v/>
      </c>
      <c r="O356" s="168"/>
      <c r="P356" s="196"/>
      <c r="Q356" s="196"/>
      <c r="R356" s="196"/>
      <c r="S356" s="165"/>
      <c r="T356" s="167"/>
      <c r="U356" s="167"/>
      <c r="V356" s="167"/>
      <c r="W356" s="167"/>
      <c r="X356" s="167"/>
      <c r="Y356" s="197"/>
      <c r="Z356" s="158" t="str">
        <f>IF(AND(SUM(M356,N356)=C356, C356&lt;&gt;0),"DONE"," ")</f>
        <v xml:space="preserve"> </v>
      </c>
      <c r="AA356" s="198">
        <v>46017</v>
      </c>
      <c r="AC356" s="134" t="s">
        <v>570</v>
      </c>
      <c r="AD356" s="124"/>
    </row>
    <row r="357" spans="1:30" s="101" customFormat="1">
      <c r="A357" s="176" t="s">
        <v>667</v>
      </c>
      <c r="B357" s="166">
        <v>46016</v>
      </c>
      <c r="C357" s="167">
        <v>90</v>
      </c>
      <c r="D357" s="288"/>
      <c r="E357" s="165"/>
      <c r="F357" s="167" t="s">
        <v>472</v>
      </c>
      <c r="G357" s="188" t="s">
        <v>436</v>
      </c>
      <c r="H357" s="168">
        <v>90</v>
      </c>
      <c r="I357" s="188" t="s">
        <v>436</v>
      </c>
      <c r="J357" s="168" t="s">
        <v>472</v>
      </c>
      <c r="K357" s="188" t="s">
        <v>436</v>
      </c>
      <c r="L357" s="168" t="s">
        <v>535</v>
      </c>
      <c r="M357" s="168">
        <v>87</v>
      </c>
      <c r="N357" s="157" t="str">
        <f>IF(AND(M357=C357, C357&lt;&gt;""), "-", "")</f>
        <v/>
      </c>
      <c r="O357" s="168"/>
      <c r="P357" s="196"/>
      <c r="Q357" s="196"/>
      <c r="R357" s="196"/>
      <c r="S357" s="165"/>
      <c r="T357" s="167"/>
      <c r="U357" s="167"/>
      <c r="V357" s="167"/>
      <c r="W357" s="167"/>
      <c r="X357" s="167"/>
      <c r="Y357" s="197"/>
      <c r="Z357" s="158" t="str">
        <f>IF(AND(SUM(M357,N357)=C357, C357&lt;&gt;0),"DONE"," ")</f>
        <v xml:space="preserve"> </v>
      </c>
      <c r="AA357" s="198">
        <v>46017</v>
      </c>
      <c r="AC357" s="134" t="s">
        <v>570</v>
      </c>
      <c r="AD357" s="124"/>
    </row>
    <row r="358" spans="1:30" s="101" customFormat="1">
      <c r="A358" s="176" t="s">
        <v>668</v>
      </c>
      <c r="B358" s="166">
        <v>46016</v>
      </c>
      <c r="C358" s="167">
        <v>90</v>
      </c>
      <c r="D358" s="288"/>
      <c r="E358" s="165"/>
      <c r="F358" s="167" t="s">
        <v>478</v>
      </c>
      <c r="G358" s="188" t="s">
        <v>436</v>
      </c>
      <c r="H358" s="168">
        <v>90</v>
      </c>
      <c r="I358" s="188" t="s">
        <v>436</v>
      </c>
      <c r="J358" s="168" t="s">
        <v>469</v>
      </c>
      <c r="K358" s="188" t="s">
        <v>436</v>
      </c>
      <c r="L358" s="168" t="s">
        <v>535</v>
      </c>
      <c r="M358" s="168">
        <v>90</v>
      </c>
      <c r="N358" s="157" t="str">
        <f>IF(AND(M358=C358, C358&lt;&gt;""), "-", "")</f>
        <v>-</v>
      </c>
      <c r="O358" s="168"/>
      <c r="P358" s="196"/>
      <c r="Q358" s="196"/>
      <c r="R358" s="196"/>
      <c r="S358" s="165"/>
      <c r="T358" s="167"/>
      <c r="U358" s="167"/>
      <c r="V358" s="167"/>
      <c r="W358" s="167"/>
      <c r="X358" s="167"/>
      <c r="Y358" s="197"/>
      <c r="Z358" s="158" t="str">
        <f>IF(AND(SUM(M358,N358)=C358, C358&lt;&gt;0),"DONE"," ")</f>
        <v>DONE</v>
      </c>
      <c r="AA358" s="198">
        <v>46020</v>
      </c>
      <c r="AC358" s="134" t="s">
        <v>570</v>
      </c>
      <c r="AD358" s="124"/>
    </row>
    <row r="359" spans="1:30" s="101" customFormat="1">
      <c r="A359" s="176" t="s">
        <v>669</v>
      </c>
      <c r="B359" s="166">
        <v>46016</v>
      </c>
      <c r="C359" s="167">
        <v>90</v>
      </c>
      <c r="D359" s="288"/>
      <c r="E359" s="165"/>
      <c r="F359" s="167" t="s">
        <v>536</v>
      </c>
      <c r="G359" s="188" t="s">
        <v>436</v>
      </c>
      <c r="H359" s="168">
        <v>90</v>
      </c>
      <c r="I359" s="188" t="s">
        <v>436</v>
      </c>
      <c r="J359" s="168" t="s">
        <v>472</v>
      </c>
      <c r="K359" s="188" t="s">
        <v>436</v>
      </c>
      <c r="L359" s="168" t="s">
        <v>535</v>
      </c>
      <c r="M359" s="168">
        <v>87</v>
      </c>
      <c r="N359" s="157" t="str">
        <f>IF(AND(M359=C359, C359&lt;&gt;""), "-", "")</f>
        <v/>
      </c>
      <c r="O359" s="168"/>
      <c r="P359" s="196"/>
      <c r="Q359" s="196"/>
      <c r="R359" s="196"/>
      <c r="S359" s="165"/>
      <c r="T359" s="167"/>
      <c r="U359" s="167"/>
      <c r="V359" s="167"/>
      <c r="W359" s="167"/>
      <c r="X359" s="167"/>
      <c r="Y359" s="197"/>
      <c r="Z359" s="158" t="str">
        <f>IF(AND(SUM(M359,N359)=C359, C359&lt;&gt;0),"DONE"," ")</f>
        <v xml:space="preserve"> </v>
      </c>
      <c r="AA359" s="198">
        <v>46020</v>
      </c>
      <c r="AC359" s="134" t="s">
        <v>570</v>
      </c>
      <c r="AD359" s="134"/>
    </row>
    <row r="360" spans="1:30" s="101" customFormat="1" ht="15.75">
      <c r="A360" s="116" t="s">
        <v>670</v>
      </c>
      <c r="B360" s="166">
        <v>46017</v>
      </c>
      <c r="C360" s="167">
        <v>90</v>
      </c>
      <c r="D360" s="288"/>
      <c r="E360" s="165"/>
      <c r="F360" s="167" t="s">
        <v>540</v>
      </c>
      <c r="G360" s="188" t="s">
        <v>436</v>
      </c>
      <c r="H360" s="168">
        <v>90</v>
      </c>
      <c r="I360" s="188" t="s">
        <v>436</v>
      </c>
      <c r="J360" s="168" t="s">
        <v>472</v>
      </c>
      <c r="K360" s="188" t="s">
        <v>436</v>
      </c>
      <c r="L360" s="168" t="s">
        <v>535</v>
      </c>
      <c r="M360" s="168">
        <v>82</v>
      </c>
      <c r="N360" s="204" t="str">
        <f>IF(AND(M360=C360, C360&lt;&gt;""), "-", "")</f>
        <v/>
      </c>
      <c r="O360" s="99"/>
      <c r="P360" s="100"/>
      <c r="Q360" s="100"/>
      <c r="R360" s="100"/>
      <c r="S360" s="96"/>
      <c r="T360" s="98"/>
      <c r="U360" s="98"/>
      <c r="V360" s="98"/>
      <c r="W360" s="98"/>
      <c r="X360" s="98"/>
      <c r="Z360" s="156" t="str">
        <f>IF(AND(SUM(M360,N360)=C360, C360&lt;&gt;0),"DONE"," ")</f>
        <v xml:space="preserve"> </v>
      </c>
      <c r="AA360" s="198">
        <v>46021</v>
      </c>
      <c r="AC360" s="134" t="s">
        <v>570</v>
      </c>
      <c r="AD360" s="124"/>
    </row>
    <row r="361" spans="1:30" s="101" customFormat="1">
      <c r="A361" s="176" t="s">
        <v>671</v>
      </c>
      <c r="B361" s="166">
        <v>46017</v>
      </c>
      <c r="C361" s="167">
        <v>90</v>
      </c>
      <c r="D361" s="288"/>
      <c r="E361" s="165"/>
      <c r="F361" s="167" t="s">
        <v>473</v>
      </c>
      <c r="G361" s="188" t="s">
        <v>436</v>
      </c>
      <c r="H361" s="168">
        <v>90</v>
      </c>
      <c r="I361" s="188" t="s">
        <v>436</v>
      </c>
      <c r="J361" s="168" t="s">
        <v>472</v>
      </c>
      <c r="K361" s="188" t="s">
        <v>436</v>
      </c>
      <c r="L361" s="168" t="s">
        <v>535</v>
      </c>
      <c r="M361" s="168">
        <v>90</v>
      </c>
      <c r="N361" s="204" t="str">
        <f>IF(AND(M361=C361, C361&lt;&gt;""), "-", "")</f>
        <v>-</v>
      </c>
      <c r="O361" s="99"/>
      <c r="P361" s="100"/>
      <c r="Q361" s="100"/>
      <c r="R361" s="100"/>
      <c r="S361" s="96"/>
      <c r="T361" s="98"/>
      <c r="U361" s="98"/>
      <c r="V361" s="98"/>
      <c r="W361" s="98"/>
      <c r="X361" s="98"/>
      <c r="Z361" s="156" t="str">
        <f>IF(AND(SUM(M361,N361)=C361, C361&lt;&gt;0),"DONE"," ")</f>
        <v>DONE</v>
      </c>
      <c r="AA361" s="198">
        <v>46020</v>
      </c>
      <c r="AC361" s="134" t="s">
        <v>570</v>
      </c>
      <c r="AD361" s="124"/>
    </row>
    <row r="362" spans="1:30" s="101" customFormat="1">
      <c r="A362" s="176" t="s">
        <v>672</v>
      </c>
      <c r="B362" s="166">
        <v>46017</v>
      </c>
      <c r="C362" s="167">
        <v>90</v>
      </c>
      <c r="D362" s="288"/>
      <c r="E362" s="165"/>
      <c r="F362" s="167" t="s">
        <v>469</v>
      </c>
      <c r="G362" s="188" t="s">
        <v>436</v>
      </c>
      <c r="H362" s="168">
        <v>90</v>
      </c>
      <c r="I362" s="188" t="s">
        <v>436</v>
      </c>
      <c r="J362" s="168" t="s">
        <v>472</v>
      </c>
      <c r="K362" s="188" t="s">
        <v>436</v>
      </c>
      <c r="L362" s="168" t="s">
        <v>535</v>
      </c>
      <c r="M362" s="168">
        <v>87</v>
      </c>
      <c r="N362" s="204" t="str">
        <f>IF(AND(M362=C362, C362&lt;&gt;""), "-", "")</f>
        <v/>
      </c>
      <c r="O362" s="99"/>
      <c r="P362" s="100"/>
      <c r="Q362" s="100"/>
      <c r="R362" s="100"/>
      <c r="S362" s="96"/>
      <c r="T362" s="98"/>
      <c r="U362" s="98"/>
      <c r="V362" s="98"/>
      <c r="W362" s="98"/>
      <c r="X362" s="98"/>
      <c r="Z362" s="156" t="str">
        <f>IF(AND(SUM(M362,N362)=C362, C362&lt;&gt;0),"DONE"," ")</f>
        <v xml:space="preserve"> </v>
      </c>
      <c r="AA362" s="198">
        <v>46021</v>
      </c>
      <c r="AC362" s="134" t="s">
        <v>570</v>
      </c>
      <c r="AD362" s="124"/>
    </row>
    <row r="363" spans="1:30" s="101" customFormat="1">
      <c r="A363" s="176" t="s">
        <v>673</v>
      </c>
      <c r="B363" s="166">
        <v>46020</v>
      </c>
      <c r="C363" s="167">
        <v>90</v>
      </c>
      <c r="D363" s="288"/>
      <c r="E363" s="165"/>
      <c r="F363" s="167" t="s">
        <v>542</v>
      </c>
      <c r="G363" s="188" t="s">
        <v>436</v>
      </c>
      <c r="H363" s="168">
        <v>90</v>
      </c>
      <c r="I363" s="188" t="s">
        <v>436</v>
      </c>
      <c r="J363" s="168" t="s">
        <v>472</v>
      </c>
      <c r="K363" s="188" t="s">
        <v>436</v>
      </c>
      <c r="L363" s="168" t="s">
        <v>535</v>
      </c>
      <c r="M363" s="168">
        <v>89</v>
      </c>
      <c r="N363" s="204" t="str">
        <f>IF(AND(M363=C363, C363&lt;&gt;""), "-", "")</f>
        <v/>
      </c>
      <c r="O363" s="99"/>
      <c r="P363" s="100"/>
      <c r="Q363" s="100"/>
      <c r="R363" s="100"/>
      <c r="S363" s="96"/>
      <c r="T363" s="98"/>
      <c r="U363" s="98"/>
      <c r="V363" s="98"/>
      <c r="W363" s="98"/>
      <c r="X363" s="98"/>
      <c r="Z363" s="156" t="str">
        <f>IF(AND(SUM(M363,N363)=C363, C363&lt;&gt;0),"DONE"," ")</f>
        <v xml:space="preserve"> </v>
      </c>
      <c r="AA363" s="198">
        <v>46022</v>
      </c>
      <c r="AC363" s="134" t="s">
        <v>570</v>
      </c>
      <c r="AD363" s="124"/>
    </row>
    <row r="364" spans="1:30" s="101" customFormat="1">
      <c r="A364" s="176" t="s">
        <v>674</v>
      </c>
      <c r="B364" s="166">
        <v>46020</v>
      </c>
      <c r="C364" s="167">
        <v>90</v>
      </c>
      <c r="D364" s="288"/>
      <c r="E364" s="165"/>
      <c r="F364" s="167" t="s">
        <v>470</v>
      </c>
      <c r="G364" s="188" t="s">
        <v>436</v>
      </c>
      <c r="H364" s="168">
        <v>90</v>
      </c>
      <c r="I364" s="188" t="s">
        <v>436</v>
      </c>
      <c r="J364" s="168" t="s">
        <v>472</v>
      </c>
      <c r="K364" s="188" t="s">
        <v>436</v>
      </c>
      <c r="L364" s="168" t="s">
        <v>535</v>
      </c>
      <c r="M364" s="168">
        <v>89</v>
      </c>
      <c r="N364" s="204" t="str">
        <f>IF(AND(M364=C364, C364&lt;&gt;""), "-", "")</f>
        <v/>
      </c>
      <c r="O364" s="99"/>
      <c r="P364" s="100"/>
      <c r="Q364" s="100"/>
      <c r="R364" s="100"/>
      <c r="S364" s="96"/>
      <c r="T364" s="98"/>
      <c r="U364" s="98"/>
      <c r="V364" s="98"/>
      <c r="W364" s="98"/>
      <c r="X364" s="98"/>
      <c r="Z364" s="156" t="str">
        <f>IF(AND(SUM(M364,N364)=C364, C364&lt;&gt;0),"DONE"," ")</f>
        <v xml:space="preserve"> </v>
      </c>
      <c r="AA364" s="198">
        <v>46021</v>
      </c>
      <c r="AC364" s="134" t="s">
        <v>570</v>
      </c>
      <c r="AD364" s="124"/>
    </row>
    <row r="365" spans="1:30" s="101" customFormat="1">
      <c r="A365" s="176" t="s">
        <v>675</v>
      </c>
      <c r="B365" s="166">
        <v>46020</v>
      </c>
      <c r="C365" s="167">
        <v>90</v>
      </c>
      <c r="D365" s="288"/>
      <c r="E365" s="165"/>
      <c r="F365" s="167" t="s">
        <v>540</v>
      </c>
      <c r="G365" s="188" t="s">
        <v>436</v>
      </c>
      <c r="H365" s="168">
        <v>90</v>
      </c>
      <c r="I365" s="188" t="s">
        <v>436</v>
      </c>
      <c r="J365" s="168" t="s">
        <v>472</v>
      </c>
      <c r="K365" s="188" t="s">
        <v>436</v>
      </c>
      <c r="L365" s="168" t="s">
        <v>535</v>
      </c>
      <c r="M365" s="168">
        <v>90</v>
      </c>
      <c r="N365" s="204" t="str">
        <f>IF(AND(M365=C365, C365&lt;&gt;""), "-", "")</f>
        <v>-</v>
      </c>
      <c r="O365" s="99"/>
      <c r="P365" s="100"/>
      <c r="Q365" s="100"/>
      <c r="R365" s="100"/>
      <c r="S365" s="96"/>
      <c r="T365" s="98"/>
      <c r="U365" s="98"/>
      <c r="V365" s="98"/>
      <c r="W365" s="98"/>
      <c r="X365" s="98"/>
      <c r="Z365" s="156" t="str">
        <f>IF(AND(SUM(M365,N365)=C365, C365&lt;&gt;0),"DONE"," ")</f>
        <v>DONE</v>
      </c>
      <c r="AA365" s="198">
        <v>46022</v>
      </c>
      <c r="AC365" s="134" t="s">
        <v>570</v>
      </c>
      <c r="AD365" s="124"/>
    </row>
    <row r="366" spans="1:30" s="101" customFormat="1">
      <c r="A366" s="176" t="s">
        <v>676</v>
      </c>
      <c r="B366" s="166">
        <v>46021</v>
      </c>
      <c r="C366" s="167">
        <v>90</v>
      </c>
      <c r="D366" s="288"/>
      <c r="E366" s="165"/>
      <c r="F366" s="167" t="s">
        <v>470</v>
      </c>
      <c r="G366" s="188" t="s">
        <v>436</v>
      </c>
      <c r="H366" s="168">
        <v>90</v>
      </c>
      <c r="I366" s="188" t="s">
        <v>436</v>
      </c>
      <c r="J366" s="168" t="s">
        <v>472</v>
      </c>
      <c r="K366" s="188" t="s">
        <v>436</v>
      </c>
      <c r="L366" s="168" t="s">
        <v>535</v>
      </c>
      <c r="M366" s="168">
        <v>87</v>
      </c>
      <c r="N366" s="204" t="str">
        <f>IF(AND(M366=C366, C366&lt;&gt;""), "-", "")</f>
        <v/>
      </c>
      <c r="O366" s="99"/>
      <c r="P366" s="100"/>
      <c r="Q366" s="100"/>
      <c r="R366" s="100"/>
      <c r="S366" s="96"/>
      <c r="T366" s="98"/>
      <c r="U366" s="98"/>
      <c r="V366" s="98"/>
      <c r="W366" s="98"/>
      <c r="X366" s="98"/>
      <c r="Z366" s="156" t="str">
        <f>IF(AND(SUM(M366,N366)=C366, C366&lt;&gt;0),"DONE"," ")</f>
        <v xml:space="preserve"> </v>
      </c>
      <c r="AA366" s="198">
        <v>46022</v>
      </c>
      <c r="AC366" s="134" t="s">
        <v>570</v>
      </c>
      <c r="AD366" s="124"/>
    </row>
    <row r="367" spans="1:30" s="101" customFormat="1">
      <c r="A367" s="172" t="s">
        <v>677</v>
      </c>
      <c r="B367" s="205">
        <v>46028</v>
      </c>
      <c r="C367" s="176">
        <v>90</v>
      </c>
      <c r="D367" s="290"/>
      <c r="E367" s="200"/>
      <c r="F367" s="176" t="s">
        <v>562</v>
      </c>
      <c r="G367" s="188" t="s">
        <v>436</v>
      </c>
      <c r="H367" s="168">
        <v>90</v>
      </c>
      <c r="I367" s="188" t="s">
        <v>436</v>
      </c>
      <c r="J367" s="168" t="s">
        <v>538</v>
      </c>
      <c r="K367" s="188" t="s">
        <v>436</v>
      </c>
      <c r="L367" s="168" t="s">
        <v>535</v>
      </c>
      <c r="M367" s="168">
        <v>79</v>
      </c>
      <c r="N367" s="204" t="str">
        <f>IF(AND(M367=C367, C367&lt;&gt;""), "-", "")</f>
        <v/>
      </c>
      <c r="O367" s="99"/>
      <c r="P367" s="99"/>
      <c r="Q367" s="99"/>
      <c r="R367" s="99"/>
      <c r="S367" s="171"/>
      <c r="T367" s="95"/>
      <c r="U367" s="95"/>
      <c r="V367" s="95"/>
      <c r="W367" s="95"/>
      <c r="X367" s="95"/>
      <c r="Y367" s="109"/>
      <c r="Z367" s="156" t="str">
        <f>IF(AND(SUM(M367,N367)=C367, C367&lt;&gt;0),"DONE"," ")</f>
        <v xml:space="preserve"> </v>
      </c>
      <c r="AA367" s="198">
        <v>46029</v>
      </c>
      <c r="AC367" s="134" t="s">
        <v>570</v>
      </c>
      <c r="AD367" s="124"/>
    </row>
    <row r="368" spans="1:30" s="101" customFormat="1">
      <c r="A368" s="172" t="s">
        <v>678</v>
      </c>
      <c r="B368" s="205">
        <v>46029</v>
      </c>
      <c r="C368" s="176">
        <v>90</v>
      </c>
      <c r="D368" s="290"/>
      <c r="E368" s="200"/>
      <c r="F368" s="176" t="s">
        <v>540</v>
      </c>
      <c r="G368" s="188" t="s">
        <v>436</v>
      </c>
      <c r="H368" s="168">
        <v>90</v>
      </c>
      <c r="I368" s="188" t="s">
        <v>436</v>
      </c>
      <c r="J368" s="168" t="s">
        <v>469</v>
      </c>
      <c r="K368" s="188" t="s">
        <v>436</v>
      </c>
      <c r="L368" s="168" t="s">
        <v>535</v>
      </c>
      <c r="M368" s="168">
        <v>80</v>
      </c>
      <c r="N368" s="204" t="str">
        <f>IF(AND(M368=C368, C368&lt;&gt;""), "-", "")</f>
        <v/>
      </c>
      <c r="O368" s="99"/>
      <c r="P368" s="99"/>
      <c r="Q368" s="99"/>
      <c r="R368" s="99"/>
      <c r="S368" s="171"/>
      <c r="T368" s="95"/>
      <c r="U368" s="95"/>
      <c r="V368" s="95"/>
      <c r="W368" s="95"/>
      <c r="X368" s="95"/>
      <c r="Y368" s="109"/>
      <c r="Z368" s="156" t="str">
        <f>IF(AND(SUM(M368,N368)=C368, C368&lt;&gt;0),"DONE"," ")</f>
        <v xml:space="preserve"> </v>
      </c>
      <c r="AA368" s="198">
        <v>46030</v>
      </c>
      <c r="AC368" s="134" t="s">
        <v>570</v>
      </c>
      <c r="AD368" s="124"/>
    </row>
    <row r="369" spans="1:30" s="101" customFormat="1">
      <c r="A369" s="172" t="s">
        <v>679</v>
      </c>
      <c r="B369" s="205">
        <v>46029</v>
      </c>
      <c r="C369" s="176">
        <v>90</v>
      </c>
      <c r="D369" s="290"/>
      <c r="E369" s="200"/>
      <c r="F369" s="176" t="s">
        <v>473</v>
      </c>
      <c r="G369" s="188" t="s">
        <v>436</v>
      </c>
      <c r="H369" s="168">
        <v>90</v>
      </c>
      <c r="I369" s="188" t="s">
        <v>436</v>
      </c>
      <c r="J369" s="168" t="s">
        <v>538</v>
      </c>
      <c r="K369" s="188" t="s">
        <v>436</v>
      </c>
      <c r="L369" s="168" t="s">
        <v>535</v>
      </c>
      <c r="M369" s="168">
        <v>88</v>
      </c>
      <c r="N369" s="204" t="str">
        <f>IF(AND(M369=C369, C369&lt;&gt;""), "-", "")</f>
        <v/>
      </c>
      <c r="O369" s="99"/>
      <c r="P369" s="99"/>
      <c r="Q369" s="99"/>
      <c r="R369" s="99"/>
      <c r="S369" s="171"/>
      <c r="T369" s="95"/>
      <c r="U369" s="95"/>
      <c r="V369" s="95"/>
      <c r="W369" s="95"/>
      <c r="X369" s="95"/>
      <c r="Y369" s="109"/>
      <c r="Z369" s="156" t="str">
        <f>IF(AND(SUM(M369,N369)=C369, C369&lt;&gt;0),"DONE"," ")</f>
        <v xml:space="preserve"> </v>
      </c>
      <c r="AA369" s="198">
        <v>46030</v>
      </c>
      <c r="AC369" s="134" t="s">
        <v>570</v>
      </c>
      <c r="AD369" s="124"/>
    </row>
    <row r="370" spans="1:30" s="101" customFormat="1">
      <c r="A370" s="172" t="s">
        <v>680</v>
      </c>
      <c r="B370" s="205">
        <v>46030</v>
      </c>
      <c r="C370" s="176">
        <v>90</v>
      </c>
      <c r="D370" s="290"/>
      <c r="E370" s="200"/>
      <c r="F370" s="176" t="s">
        <v>519</v>
      </c>
      <c r="G370" s="188" t="s">
        <v>436</v>
      </c>
      <c r="H370" s="168">
        <v>90</v>
      </c>
      <c r="I370" s="188" t="s">
        <v>436</v>
      </c>
      <c r="J370" s="168" t="s">
        <v>538</v>
      </c>
      <c r="K370" s="188" t="s">
        <v>436</v>
      </c>
      <c r="L370" s="168" t="s">
        <v>535</v>
      </c>
      <c r="M370" s="168">
        <v>85</v>
      </c>
      <c r="N370" s="204" t="str">
        <f>IF(AND(M370=C370, C370&lt;&gt;""), "-", "")</f>
        <v/>
      </c>
      <c r="O370" s="168"/>
      <c r="P370" s="168"/>
      <c r="Q370" s="168"/>
      <c r="R370" s="168"/>
      <c r="S370" s="200"/>
      <c r="T370" s="176"/>
      <c r="U370" s="176"/>
      <c r="V370" s="176"/>
      <c r="W370" s="176"/>
      <c r="X370" s="176"/>
      <c r="Y370" s="201"/>
      <c r="Z370" s="156" t="str">
        <f>IF(AND(SUM(M370,N370)=C370, C370&lt;&gt;0),"DONE"," ")</f>
        <v xml:space="preserve"> </v>
      </c>
      <c r="AA370" s="198">
        <v>46031</v>
      </c>
      <c r="AC370" s="134" t="s">
        <v>570</v>
      </c>
      <c r="AD370" s="124"/>
    </row>
    <row r="371" spans="1:30" s="101" customFormat="1">
      <c r="A371" s="176" t="s">
        <v>681</v>
      </c>
      <c r="B371" s="205">
        <v>46030</v>
      </c>
      <c r="C371" s="176">
        <v>90</v>
      </c>
      <c r="D371" s="290"/>
      <c r="E371" s="200"/>
      <c r="F371" s="176" t="s">
        <v>540</v>
      </c>
      <c r="G371" s="188" t="s">
        <v>436</v>
      </c>
      <c r="H371" s="168">
        <v>90</v>
      </c>
      <c r="I371" s="188" t="s">
        <v>436</v>
      </c>
      <c r="J371" s="168" t="s">
        <v>538</v>
      </c>
      <c r="K371" s="188" t="s">
        <v>436</v>
      </c>
      <c r="L371" s="168" t="s">
        <v>535</v>
      </c>
      <c r="M371" s="168">
        <v>89</v>
      </c>
      <c r="N371" s="204" t="str">
        <f>IF(AND(M371=C371, C371&lt;&gt;""), "-", "")</f>
        <v/>
      </c>
      <c r="O371" s="168"/>
      <c r="P371" s="168"/>
      <c r="Q371" s="168"/>
      <c r="R371" s="168"/>
      <c r="S371" s="200"/>
      <c r="T371" s="176"/>
      <c r="U371" s="176"/>
      <c r="V371" s="176"/>
      <c r="W371" s="176"/>
      <c r="X371" s="176"/>
      <c r="Y371" s="201"/>
      <c r="Z371" s="156" t="str">
        <f>IF(AND(SUM(M371,N371)=C371, C371&lt;&gt;0),"DONE"," ")</f>
        <v xml:space="preserve"> </v>
      </c>
      <c r="AA371" s="198">
        <v>46031</v>
      </c>
      <c r="AC371" s="134" t="s">
        <v>570</v>
      </c>
      <c r="AD371" s="124"/>
    </row>
    <row r="372" spans="1:30" s="101" customFormat="1">
      <c r="A372" s="176" t="s">
        <v>682</v>
      </c>
      <c r="B372" s="166">
        <v>46030</v>
      </c>
      <c r="C372" s="167">
        <v>90</v>
      </c>
      <c r="D372" s="288"/>
      <c r="E372" s="165"/>
      <c r="F372" s="167" t="s">
        <v>473</v>
      </c>
      <c r="G372" s="188" t="s">
        <v>436</v>
      </c>
      <c r="H372" s="168">
        <v>90</v>
      </c>
      <c r="I372" s="188" t="s">
        <v>436</v>
      </c>
      <c r="J372" s="168" t="s">
        <v>469</v>
      </c>
      <c r="K372" s="188" t="s">
        <v>436</v>
      </c>
      <c r="L372" s="168" t="s">
        <v>535</v>
      </c>
      <c r="M372" s="168">
        <v>87</v>
      </c>
      <c r="N372" s="204" t="str">
        <f>IF(AND(M372=C372, C372&lt;&gt;""), "-", "")</f>
        <v/>
      </c>
      <c r="O372" s="168"/>
      <c r="P372" s="196"/>
      <c r="Q372" s="196"/>
      <c r="R372" s="196"/>
      <c r="S372" s="165"/>
      <c r="T372" s="167"/>
      <c r="U372" s="167"/>
      <c r="V372" s="167"/>
      <c r="W372" s="167"/>
      <c r="X372" s="167"/>
      <c r="Y372" s="197"/>
      <c r="Z372" s="156" t="str">
        <f>IF(AND(SUM(M372,N372)=C372, C372&lt;&gt;0),"DONE"," ")</f>
        <v xml:space="preserve"> </v>
      </c>
      <c r="AA372" s="198">
        <v>46034</v>
      </c>
      <c r="AC372" s="134" t="s">
        <v>570</v>
      </c>
      <c r="AD372" s="124"/>
    </row>
    <row r="373" spans="1:30" s="101" customFormat="1">
      <c r="A373" s="173" t="s">
        <v>683</v>
      </c>
      <c r="B373" s="166">
        <v>46031</v>
      </c>
      <c r="C373" s="167">
        <v>90</v>
      </c>
      <c r="D373" s="288"/>
      <c r="E373" s="165"/>
      <c r="F373" s="167" t="s">
        <v>536</v>
      </c>
      <c r="G373" s="188" t="s">
        <v>436</v>
      </c>
      <c r="H373" s="168">
        <v>90</v>
      </c>
      <c r="I373" s="188" t="s">
        <v>436</v>
      </c>
      <c r="J373" s="168" t="s">
        <v>469</v>
      </c>
      <c r="K373" s="188" t="s">
        <v>436</v>
      </c>
      <c r="L373" s="168" t="s">
        <v>535</v>
      </c>
      <c r="M373" s="168">
        <v>87</v>
      </c>
      <c r="N373" s="204" t="str">
        <f>IF(AND(M373=C373, C373&lt;&gt;""), "-", "")</f>
        <v/>
      </c>
      <c r="O373" s="168"/>
      <c r="P373" s="196"/>
      <c r="Q373" s="196"/>
      <c r="R373" s="196"/>
      <c r="S373" s="165"/>
      <c r="T373" s="167"/>
      <c r="U373" s="167"/>
      <c r="V373" s="167"/>
      <c r="W373" s="167"/>
      <c r="X373" s="167"/>
      <c r="Y373" s="197"/>
      <c r="Z373" s="156" t="str">
        <f>IF(AND(SUM(M373,N373)=C373, C373&lt;&gt;0),"DONE"," ")</f>
        <v xml:space="preserve"> </v>
      </c>
      <c r="AA373" s="198">
        <v>46034</v>
      </c>
      <c r="AC373" s="134" t="s">
        <v>570</v>
      </c>
      <c r="AD373" s="124"/>
    </row>
    <row r="374" spans="1:30" s="101" customFormat="1">
      <c r="A374" s="176" t="s">
        <v>684</v>
      </c>
      <c r="B374" s="166">
        <v>46031</v>
      </c>
      <c r="C374" s="167">
        <v>90</v>
      </c>
      <c r="D374" s="288"/>
      <c r="E374" s="165"/>
      <c r="F374" s="167" t="s">
        <v>540</v>
      </c>
      <c r="G374" s="188" t="s">
        <v>436</v>
      </c>
      <c r="H374" s="168">
        <v>90</v>
      </c>
      <c r="I374" s="188" t="s">
        <v>436</v>
      </c>
      <c r="J374" s="168" t="s">
        <v>469</v>
      </c>
      <c r="K374" s="188" t="s">
        <v>436</v>
      </c>
      <c r="L374" s="168" t="s">
        <v>535</v>
      </c>
      <c r="M374" s="168">
        <v>87</v>
      </c>
      <c r="N374" s="204" t="str">
        <f>IF(AND(M374=C374, C374&lt;&gt;""), "-", "")</f>
        <v/>
      </c>
      <c r="O374" s="168"/>
      <c r="P374" s="196"/>
      <c r="Q374" s="196"/>
      <c r="R374" s="196"/>
      <c r="S374" s="165"/>
      <c r="T374" s="167"/>
      <c r="U374" s="167"/>
      <c r="V374" s="167"/>
      <c r="W374" s="167"/>
      <c r="X374" s="167"/>
      <c r="Y374" s="197"/>
      <c r="Z374" s="156" t="str">
        <f>IF(AND(SUM(M374,N374)=C374, C374&lt;&gt;0),"DONE"," ")</f>
        <v xml:space="preserve"> </v>
      </c>
      <c r="AA374" s="198">
        <v>46035</v>
      </c>
      <c r="AC374" s="134" t="s">
        <v>570</v>
      </c>
      <c r="AD374" s="124"/>
    </row>
    <row r="375" spans="1:30" s="101" customFormat="1">
      <c r="A375" s="176" t="s">
        <v>685</v>
      </c>
      <c r="B375" s="166">
        <v>46032</v>
      </c>
      <c r="C375" s="167">
        <v>90</v>
      </c>
      <c r="D375" s="288"/>
      <c r="E375" s="165"/>
      <c r="F375" s="167" t="s">
        <v>542</v>
      </c>
      <c r="G375" s="188" t="s">
        <v>436</v>
      </c>
      <c r="H375" s="168">
        <v>90</v>
      </c>
      <c r="I375" s="188" t="s">
        <v>436</v>
      </c>
      <c r="J375" s="168" t="s">
        <v>469</v>
      </c>
      <c r="K375" s="188" t="s">
        <v>436</v>
      </c>
      <c r="L375" s="168" t="s">
        <v>535</v>
      </c>
      <c r="M375" s="168">
        <v>90</v>
      </c>
      <c r="N375" s="204" t="str">
        <f>IF(AND(M375=C375, C375&lt;&gt;""), "-", "")</f>
        <v>-</v>
      </c>
      <c r="O375" s="168"/>
      <c r="P375" s="196"/>
      <c r="Q375" s="196"/>
      <c r="R375" s="196"/>
      <c r="S375" s="165"/>
      <c r="T375" s="167"/>
      <c r="U375" s="167"/>
      <c r="V375" s="167"/>
      <c r="W375" s="167"/>
      <c r="X375" s="167"/>
      <c r="Y375" s="197"/>
      <c r="Z375" s="156" t="str">
        <f>IF(AND(SUM(M375,N375)=C375, C375&lt;&gt;0),"DONE"," ")</f>
        <v>DONE</v>
      </c>
      <c r="AA375" s="198">
        <v>46035</v>
      </c>
      <c r="AC375" s="134" t="s">
        <v>570</v>
      </c>
      <c r="AD375" s="124"/>
    </row>
    <row r="376" spans="1:30" s="101" customFormat="1">
      <c r="A376" s="176" t="s">
        <v>686</v>
      </c>
      <c r="B376" s="166">
        <v>46034</v>
      </c>
      <c r="C376" s="167">
        <v>90</v>
      </c>
      <c r="D376" s="288"/>
      <c r="E376" s="165"/>
      <c r="F376" s="167" t="s">
        <v>470</v>
      </c>
      <c r="G376" s="188" t="s">
        <v>436</v>
      </c>
      <c r="H376" s="168">
        <v>90</v>
      </c>
      <c r="I376" s="188" t="s">
        <v>436</v>
      </c>
      <c r="J376" s="168" t="s">
        <v>469</v>
      </c>
      <c r="K376" s="188" t="s">
        <v>436</v>
      </c>
      <c r="L376" s="168" t="s">
        <v>535</v>
      </c>
      <c r="M376" s="168">
        <v>90</v>
      </c>
      <c r="N376" s="204" t="str">
        <f>IF(AND(M376=C376, C376&lt;&gt;""), "-", "")</f>
        <v>-</v>
      </c>
      <c r="O376" s="168"/>
      <c r="P376" s="196"/>
      <c r="Q376" s="196"/>
      <c r="R376" s="196"/>
      <c r="S376" s="165"/>
      <c r="T376" s="167"/>
      <c r="U376" s="167"/>
      <c r="V376" s="167"/>
      <c r="W376" s="167"/>
      <c r="X376" s="167"/>
      <c r="Y376" s="197"/>
      <c r="Z376" s="156" t="str">
        <f>IF(AND(SUM(M376,N376)=C376, C376&lt;&gt;0),"DONE"," ")</f>
        <v>DONE</v>
      </c>
      <c r="AA376" s="198">
        <v>46035</v>
      </c>
      <c r="AC376" s="134" t="s">
        <v>570</v>
      </c>
      <c r="AD376" s="124"/>
    </row>
    <row r="377" spans="1:30" s="101" customFormat="1">
      <c r="A377" s="206" t="s">
        <v>687</v>
      </c>
      <c r="B377" s="166">
        <v>46035</v>
      </c>
      <c r="C377" s="167">
        <v>90</v>
      </c>
      <c r="D377" s="288"/>
      <c r="E377" s="165"/>
      <c r="F377" s="167" t="s">
        <v>473</v>
      </c>
      <c r="G377" s="188" t="s">
        <v>436</v>
      </c>
      <c r="H377" s="168">
        <v>90</v>
      </c>
      <c r="I377" s="188" t="s">
        <v>436</v>
      </c>
      <c r="J377" s="168" t="s">
        <v>469</v>
      </c>
      <c r="K377" s="188" t="s">
        <v>436</v>
      </c>
      <c r="L377" s="168" t="s">
        <v>535</v>
      </c>
      <c r="M377" s="168">
        <v>86</v>
      </c>
      <c r="N377" s="157" t="str">
        <f>IF(AND(M377=C377, C377&lt;&gt;""), "-", "")</f>
        <v/>
      </c>
      <c r="O377" s="168"/>
      <c r="P377" s="196"/>
      <c r="Q377" s="196"/>
      <c r="R377" s="196"/>
      <c r="S377" s="165"/>
      <c r="T377" s="167"/>
      <c r="U377" s="167"/>
      <c r="V377" s="167"/>
      <c r="W377" s="167"/>
      <c r="X377" s="167"/>
      <c r="Y377" s="197"/>
      <c r="Z377" s="158" t="str">
        <f>IF(AND(SUM(M377,N377)=C377, C377&lt;&gt;0),"DONE"," ")</f>
        <v xml:space="preserve"> </v>
      </c>
      <c r="AA377" s="198">
        <v>46037</v>
      </c>
      <c r="AC377" s="134" t="s">
        <v>570</v>
      </c>
      <c r="AD377" s="134"/>
    </row>
    <row r="378" spans="1:30" s="101" customFormat="1">
      <c r="A378" s="176" t="s">
        <v>688</v>
      </c>
      <c r="B378" s="166">
        <v>46035</v>
      </c>
      <c r="C378" s="167">
        <v>90</v>
      </c>
      <c r="D378" s="288"/>
      <c r="E378" s="165"/>
      <c r="F378" s="167" t="s">
        <v>540</v>
      </c>
      <c r="G378" s="188" t="s">
        <v>436</v>
      </c>
      <c r="H378" s="168">
        <v>90</v>
      </c>
      <c r="I378" s="188" t="s">
        <v>436</v>
      </c>
      <c r="J378" s="168" t="s">
        <v>469</v>
      </c>
      <c r="K378" s="188" t="s">
        <v>436</v>
      </c>
      <c r="L378" s="168" t="s">
        <v>535</v>
      </c>
      <c r="M378" s="168">
        <v>88</v>
      </c>
      <c r="N378" s="157" t="str">
        <f>IF(AND(M378=C378, C378&lt;&gt;""), "-", "")</f>
        <v/>
      </c>
      <c r="O378" s="168"/>
      <c r="P378" s="196"/>
      <c r="Q378" s="196"/>
      <c r="R378" s="196"/>
      <c r="S378" s="165"/>
      <c r="T378" s="167"/>
      <c r="U378" s="167"/>
      <c r="V378" s="167"/>
      <c r="W378" s="167"/>
      <c r="X378" s="167"/>
      <c r="Y378" s="197"/>
      <c r="Z378" s="158" t="str">
        <f>IF(AND(SUM(M378,N378)=C378, C378&lt;&gt;0),"DONE"," ")</f>
        <v xml:space="preserve"> </v>
      </c>
      <c r="AA378" s="198">
        <v>46037</v>
      </c>
      <c r="AC378" s="134" t="s">
        <v>570</v>
      </c>
      <c r="AD378" s="124"/>
    </row>
    <row r="379" spans="1:30" s="101" customFormat="1">
      <c r="A379" s="176" t="s">
        <v>689</v>
      </c>
      <c r="B379" s="166">
        <v>46036</v>
      </c>
      <c r="C379" s="167">
        <v>90</v>
      </c>
      <c r="D379" s="288"/>
      <c r="E379" s="165"/>
      <c r="F379" s="167" t="s">
        <v>690</v>
      </c>
      <c r="G379" s="188" t="s">
        <v>436</v>
      </c>
      <c r="H379" s="168">
        <v>90</v>
      </c>
      <c r="I379" s="188" t="s">
        <v>436</v>
      </c>
      <c r="J379" s="168" t="s">
        <v>469</v>
      </c>
      <c r="K379" s="188" t="s">
        <v>436</v>
      </c>
      <c r="L379" s="168" t="s">
        <v>535</v>
      </c>
      <c r="M379" s="168">
        <v>85</v>
      </c>
      <c r="N379" s="157" t="str">
        <f>IF(AND(M379=C379, C379&lt;&gt;""), "-", "")</f>
        <v/>
      </c>
      <c r="O379" s="168"/>
      <c r="P379" s="196"/>
      <c r="Q379" s="196"/>
      <c r="R379" s="196"/>
      <c r="S379" s="165"/>
      <c r="T379" s="167"/>
      <c r="U379" s="167"/>
      <c r="V379" s="167"/>
      <c r="W379" s="167"/>
      <c r="X379" s="167"/>
      <c r="Y379" s="197"/>
      <c r="Z379" s="158" t="str">
        <f>IF(AND(SUM(M379,N379)=C379, C379&lt;&gt;0),"DONE"," ")</f>
        <v xml:space="preserve"> </v>
      </c>
      <c r="AA379" s="198">
        <v>46038</v>
      </c>
      <c r="AC379" s="134" t="s">
        <v>570</v>
      </c>
      <c r="AD379" s="124"/>
    </row>
    <row r="380" spans="1:30" s="101" customFormat="1">
      <c r="A380" s="176" t="s">
        <v>691</v>
      </c>
      <c r="B380" s="166">
        <v>46036</v>
      </c>
      <c r="C380" s="167">
        <v>90</v>
      </c>
      <c r="D380" s="288"/>
      <c r="E380" s="165"/>
      <c r="F380" s="167" t="s">
        <v>473</v>
      </c>
      <c r="G380" s="188" t="s">
        <v>436</v>
      </c>
      <c r="H380" s="168">
        <v>90</v>
      </c>
      <c r="I380" s="188" t="s">
        <v>436</v>
      </c>
      <c r="J380" s="168" t="s">
        <v>469</v>
      </c>
      <c r="K380" s="188" t="s">
        <v>436</v>
      </c>
      <c r="L380" s="168" t="s">
        <v>535</v>
      </c>
      <c r="M380" s="168">
        <v>89</v>
      </c>
      <c r="N380" s="157" t="str">
        <f>IF(AND(M380=C380, C380&lt;&gt;""), "-", "")</f>
        <v/>
      </c>
      <c r="O380" s="168"/>
      <c r="P380" s="196"/>
      <c r="Q380" s="196"/>
      <c r="R380" s="196"/>
      <c r="S380" s="165"/>
      <c r="T380" s="167"/>
      <c r="U380" s="167"/>
      <c r="V380" s="167"/>
      <c r="W380" s="167"/>
      <c r="X380" s="167"/>
      <c r="Y380" s="197"/>
      <c r="Z380" s="158" t="str">
        <f>IF(AND(SUM(M380,N380)=C380, C380&lt;&gt;0),"DONE"," ")</f>
        <v xml:space="preserve"> </v>
      </c>
      <c r="AA380" s="198">
        <v>46038</v>
      </c>
      <c r="AC380" s="134" t="s">
        <v>570</v>
      </c>
      <c r="AD380" s="124"/>
    </row>
    <row r="381" spans="1:30" s="101" customFormat="1">
      <c r="A381" s="176" t="s">
        <v>692</v>
      </c>
      <c r="B381" s="166">
        <v>46036</v>
      </c>
      <c r="C381" s="167">
        <v>90</v>
      </c>
      <c r="D381" s="288"/>
      <c r="E381" s="165"/>
      <c r="F381" s="167" t="s">
        <v>540</v>
      </c>
      <c r="G381" s="188" t="s">
        <v>436</v>
      </c>
      <c r="H381" s="168">
        <v>90</v>
      </c>
      <c r="I381" s="188" t="s">
        <v>436</v>
      </c>
      <c r="J381" s="168" t="s">
        <v>469</v>
      </c>
      <c r="K381" s="188" t="s">
        <v>436</v>
      </c>
      <c r="L381" s="168" t="s">
        <v>535</v>
      </c>
      <c r="M381" s="168">
        <v>87</v>
      </c>
      <c r="N381" s="157" t="str">
        <f>IF(AND(M381=C381, C381&lt;&gt;""), "-", "")</f>
        <v/>
      </c>
      <c r="O381" s="168"/>
      <c r="P381" s="196"/>
      <c r="Q381" s="196"/>
      <c r="R381" s="196"/>
      <c r="S381" s="165"/>
      <c r="T381" s="167"/>
      <c r="U381" s="167"/>
      <c r="V381" s="167"/>
      <c r="W381" s="167"/>
      <c r="X381" s="167"/>
      <c r="Y381" s="197"/>
      <c r="Z381" s="158" t="str">
        <f>IF(AND(SUM(M381,N381)=C381, C381&lt;&gt;0),"DONE"," ")</f>
        <v xml:space="preserve"> </v>
      </c>
      <c r="AA381" s="198">
        <v>46038</v>
      </c>
      <c r="AC381" s="134" t="s">
        <v>570</v>
      </c>
      <c r="AD381" s="124"/>
    </row>
    <row r="382" spans="1:30" s="101" customFormat="1">
      <c r="A382" s="176" t="s">
        <v>693</v>
      </c>
      <c r="B382" s="166">
        <v>46037</v>
      </c>
      <c r="C382" s="167">
        <v>90</v>
      </c>
      <c r="D382" s="288"/>
      <c r="E382" s="165"/>
      <c r="F382" s="167" t="s">
        <v>470</v>
      </c>
      <c r="G382" s="188" t="s">
        <v>436</v>
      </c>
      <c r="H382" s="168">
        <v>90</v>
      </c>
      <c r="I382" s="188" t="s">
        <v>436</v>
      </c>
      <c r="J382" s="168" t="s">
        <v>469</v>
      </c>
      <c r="K382" s="188" t="s">
        <v>436</v>
      </c>
      <c r="L382" s="168" t="s">
        <v>535</v>
      </c>
      <c r="M382" s="168">
        <v>87</v>
      </c>
      <c r="N382" s="157" t="str">
        <f>IF(AND(M382=C382, C382&lt;&gt;""), "-", "")</f>
        <v/>
      </c>
      <c r="O382" s="168"/>
      <c r="P382" s="196"/>
      <c r="Q382" s="196"/>
      <c r="R382" s="196"/>
      <c r="S382" s="165"/>
      <c r="T382" s="167"/>
      <c r="U382" s="167"/>
      <c r="V382" s="167"/>
      <c r="W382" s="167"/>
      <c r="X382" s="167"/>
      <c r="Y382" s="197"/>
      <c r="Z382" s="158" t="str">
        <f>IF(AND(SUM(M382,N382)=C382, C382&lt;&gt;0),"DONE"," ")</f>
        <v xml:space="preserve"> </v>
      </c>
      <c r="AA382" s="198">
        <v>46041</v>
      </c>
      <c r="AC382" s="134" t="s">
        <v>570</v>
      </c>
      <c r="AD382" s="124"/>
    </row>
    <row r="383" spans="1:30" s="101" customFormat="1">
      <c r="A383" s="176" t="s">
        <v>694</v>
      </c>
      <c r="B383" s="166">
        <v>46037</v>
      </c>
      <c r="C383" s="167">
        <v>90</v>
      </c>
      <c r="D383" s="288"/>
      <c r="E383" s="165"/>
      <c r="F383" s="167" t="s">
        <v>540</v>
      </c>
      <c r="G383" s="188" t="s">
        <v>436</v>
      </c>
      <c r="H383" s="168">
        <v>90</v>
      </c>
      <c r="I383" s="188" t="s">
        <v>436</v>
      </c>
      <c r="J383" s="168" t="s">
        <v>469</v>
      </c>
      <c r="K383" s="188" t="s">
        <v>436</v>
      </c>
      <c r="L383" s="168" t="s">
        <v>535</v>
      </c>
      <c r="M383" s="168">
        <v>86</v>
      </c>
      <c r="N383" s="157"/>
      <c r="O383" s="168"/>
      <c r="P383" s="196"/>
      <c r="Q383" s="196"/>
      <c r="R383" s="196"/>
      <c r="S383" s="165"/>
      <c r="T383" s="167"/>
      <c r="U383" s="167"/>
      <c r="V383" s="167"/>
      <c r="W383" s="167"/>
      <c r="X383" s="167"/>
      <c r="Y383" s="197"/>
      <c r="Z383" s="158" t="str">
        <f>IF(AND(SUM(M383,N383)=C383, C383&lt;&gt;0),"DONE"," ")</f>
        <v xml:space="preserve"> </v>
      </c>
      <c r="AA383" s="198">
        <v>46042</v>
      </c>
      <c r="AC383" s="134" t="s">
        <v>570</v>
      </c>
      <c r="AD383" s="124"/>
    </row>
    <row r="384" spans="1:30">
      <c r="A384" s="176" t="s">
        <v>695</v>
      </c>
      <c r="B384" s="166">
        <v>46038</v>
      </c>
      <c r="C384" s="167">
        <v>90</v>
      </c>
      <c r="D384" s="288"/>
      <c r="E384" s="165"/>
      <c r="F384" s="167" t="s">
        <v>470</v>
      </c>
      <c r="G384" s="188" t="s">
        <v>436</v>
      </c>
      <c r="H384" s="168">
        <v>90</v>
      </c>
      <c r="I384" s="188" t="s">
        <v>436</v>
      </c>
      <c r="J384" s="168" t="s">
        <v>472</v>
      </c>
      <c r="K384" s="188" t="s">
        <v>436</v>
      </c>
      <c r="L384" s="168" t="s">
        <v>535</v>
      </c>
      <c r="M384" s="168">
        <v>83</v>
      </c>
      <c r="N384" s="157" t="str">
        <f>IF(AND(M384=C384, C384&lt;&gt;""), "-", "")</f>
        <v/>
      </c>
      <c r="O384" s="168"/>
      <c r="P384" s="196"/>
      <c r="Q384" s="196"/>
      <c r="R384" s="196"/>
      <c r="S384" s="165"/>
      <c r="T384" s="167"/>
      <c r="U384" s="167"/>
      <c r="V384" s="167"/>
      <c r="W384" s="167"/>
      <c r="X384" s="167"/>
      <c r="Y384" s="197"/>
      <c r="Z384" s="158" t="str">
        <f>IF(AND(SUM(M384,N384)=C384, C384&lt;&gt;0),"DONE"," ")</f>
        <v xml:space="preserve"> </v>
      </c>
      <c r="AA384" s="198">
        <v>46041</v>
      </c>
      <c r="AB384" s="197"/>
      <c r="AC384" s="134" t="s">
        <v>570</v>
      </c>
    </row>
    <row r="385" spans="1:30">
      <c r="A385" s="176" t="s">
        <v>696</v>
      </c>
      <c r="B385" s="166">
        <v>46039</v>
      </c>
      <c r="C385" s="167">
        <v>90</v>
      </c>
      <c r="D385" s="288"/>
      <c r="E385" s="165"/>
      <c r="F385" s="167" t="s">
        <v>473</v>
      </c>
      <c r="G385" s="188" t="s">
        <v>436</v>
      </c>
      <c r="H385" s="168">
        <v>90</v>
      </c>
      <c r="I385" s="188" t="s">
        <v>436</v>
      </c>
      <c r="J385" s="168" t="s">
        <v>469</v>
      </c>
      <c r="K385" s="188" t="s">
        <v>436</v>
      </c>
      <c r="L385" s="168" t="s">
        <v>535</v>
      </c>
      <c r="M385" s="168">
        <v>88</v>
      </c>
      <c r="N385" s="157" t="str">
        <f>IF(AND(M385=C385, C385&lt;&gt;""), "-", "")</f>
        <v/>
      </c>
      <c r="O385" s="168"/>
      <c r="P385" s="196"/>
      <c r="Q385" s="196"/>
      <c r="R385" s="196"/>
      <c r="S385" s="165"/>
      <c r="T385" s="167"/>
      <c r="U385" s="167"/>
      <c r="V385" s="167"/>
      <c r="W385" s="167"/>
      <c r="X385" s="167"/>
      <c r="Y385" s="197"/>
      <c r="Z385" s="158" t="str">
        <f>IF(AND(SUM(M385,N385)=C385, C385&lt;&gt;0),"DONE"," ")</f>
        <v xml:space="preserve"> </v>
      </c>
      <c r="AA385" s="198">
        <v>46042</v>
      </c>
      <c r="AC385" s="134" t="s">
        <v>570</v>
      </c>
    </row>
    <row r="386" spans="1:30">
      <c r="A386" s="176" t="s">
        <v>697</v>
      </c>
      <c r="B386" s="166">
        <v>46039</v>
      </c>
      <c r="C386" s="167">
        <v>90</v>
      </c>
      <c r="D386" s="288"/>
      <c r="E386" s="165"/>
      <c r="F386" s="167" t="s">
        <v>470</v>
      </c>
      <c r="G386" s="188" t="s">
        <v>436</v>
      </c>
      <c r="H386" s="168">
        <v>90</v>
      </c>
      <c r="I386" s="188" t="s">
        <v>436</v>
      </c>
      <c r="J386" s="168" t="s">
        <v>472</v>
      </c>
      <c r="K386" s="188" t="s">
        <v>436</v>
      </c>
      <c r="L386" s="168" t="s">
        <v>535</v>
      </c>
      <c r="M386" s="168">
        <v>89</v>
      </c>
      <c r="N386" s="157" t="str">
        <f>IF(AND(M386=C386, C386&lt;&gt;""), "-", "")</f>
        <v/>
      </c>
      <c r="O386" s="168"/>
      <c r="P386" s="196"/>
      <c r="Q386" s="196"/>
      <c r="R386" s="196"/>
      <c r="S386" s="165"/>
      <c r="T386" s="167"/>
      <c r="U386" s="167"/>
      <c r="V386" s="167"/>
      <c r="W386" s="167"/>
      <c r="X386" s="167"/>
      <c r="Y386" s="197"/>
      <c r="Z386" s="158" t="str">
        <f>IF(AND(SUM(M386,N386)=C386, C386&lt;&gt;0),"DONE"," ")</f>
        <v xml:space="preserve"> </v>
      </c>
      <c r="AA386" s="198">
        <v>46042</v>
      </c>
      <c r="AC386" s="134" t="s">
        <v>570</v>
      </c>
    </row>
    <row r="387" spans="1:30">
      <c r="A387" s="176" t="s">
        <v>698</v>
      </c>
      <c r="B387" s="166">
        <v>46039</v>
      </c>
      <c r="C387" s="167">
        <v>90</v>
      </c>
      <c r="D387" s="288"/>
      <c r="E387" s="165"/>
      <c r="F387" s="167" t="s">
        <v>469</v>
      </c>
      <c r="G387" s="188" t="s">
        <v>436</v>
      </c>
      <c r="H387" s="168">
        <v>90</v>
      </c>
      <c r="I387" s="188" t="s">
        <v>436</v>
      </c>
      <c r="J387" s="168" t="s">
        <v>469</v>
      </c>
      <c r="K387" s="188" t="s">
        <v>436</v>
      </c>
      <c r="L387" s="168" t="s">
        <v>535</v>
      </c>
      <c r="M387" s="168">
        <v>88</v>
      </c>
      <c r="N387" s="75" t="str">
        <f>IF(AND(M387=C387, C387&lt;&gt;""), "-", "")</f>
        <v/>
      </c>
      <c r="Z387" s="82" t="str">
        <f>IF(AND(SUM(M387,N387)=C387, C387&lt;&gt;0),"DONE"," ")</f>
        <v xml:space="preserve"> </v>
      </c>
      <c r="AA387" s="198">
        <v>46043</v>
      </c>
      <c r="AC387" s="134" t="s">
        <v>570</v>
      </c>
    </row>
    <row r="388" spans="1:30">
      <c r="A388" s="176" t="s">
        <v>699</v>
      </c>
      <c r="B388" s="166">
        <v>46041</v>
      </c>
      <c r="C388" s="167">
        <v>90</v>
      </c>
      <c r="D388" s="288"/>
      <c r="E388" s="165"/>
      <c r="F388" s="167" t="s">
        <v>470</v>
      </c>
      <c r="G388" s="188" t="s">
        <v>436</v>
      </c>
      <c r="H388" s="168">
        <v>90</v>
      </c>
      <c r="I388" s="188" t="s">
        <v>436</v>
      </c>
      <c r="J388" s="168" t="s">
        <v>469</v>
      </c>
      <c r="K388" s="188" t="s">
        <v>436</v>
      </c>
      <c r="L388" s="168" t="s">
        <v>535</v>
      </c>
      <c r="M388" s="168">
        <v>83</v>
      </c>
      <c r="N388" s="75" t="str">
        <f>IF(AND(M388=C388, C388&lt;&gt;""), "-", "")</f>
        <v/>
      </c>
      <c r="Z388" s="82" t="str">
        <f>IF(AND(SUM(M388,N388)=C388, C388&lt;&gt;0),"DONE"," ")</f>
        <v xml:space="preserve"> </v>
      </c>
      <c r="AA388" s="198">
        <v>46043</v>
      </c>
      <c r="AC388" s="134" t="s">
        <v>570</v>
      </c>
    </row>
    <row r="389" spans="1:30">
      <c r="A389" s="176" t="s">
        <v>700</v>
      </c>
      <c r="B389" s="166">
        <v>46041</v>
      </c>
      <c r="C389" s="167">
        <v>90</v>
      </c>
      <c r="D389" s="288"/>
      <c r="E389" s="165"/>
      <c r="F389" s="167" t="s">
        <v>473</v>
      </c>
      <c r="G389" s="188" t="s">
        <v>436</v>
      </c>
      <c r="H389" s="168">
        <v>90</v>
      </c>
      <c r="I389" s="188" t="s">
        <v>436</v>
      </c>
      <c r="J389" s="168" t="s">
        <v>469</v>
      </c>
      <c r="K389" s="188" t="s">
        <v>436</v>
      </c>
      <c r="L389" s="168" t="s">
        <v>535</v>
      </c>
      <c r="M389" s="168">
        <v>87</v>
      </c>
      <c r="N389" s="75" t="str">
        <f>IF(AND(M389=C389, C389&lt;&gt;""), "-", "")</f>
        <v/>
      </c>
      <c r="Z389" s="82" t="str">
        <f>IF(AND(SUM(M389,N389)=C389, C389&lt;&gt;0),"DONE"," ")</f>
        <v xml:space="preserve"> </v>
      </c>
      <c r="AA389" s="198">
        <v>46043</v>
      </c>
      <c r="AC389" s="134" t="s">
        <v>570</v>
      </c>
    </row>
    <row r="390" spans="1:30">
      <c r="A390" s="176" t="s">
        <v>701</v>
      </c>
      <c r="B390" s="166">
        <v>46042</v>
      </c>
      <c r="C390" s="167">
        <v>90</v>
      </c>
      <c r="D390" s="288"/>
      <c r="E390" s="165"/>
      <c r="F390" s="167" t="s">
        <v>470</v>
      </c>
      <c r="G390" s="188" t="s">
        <v>436</v>
      </c>
      <c r="H390" s="168">
        <v>90</v>
      </c>
      <c r="I390" s="188" t="s">
        <v>436</v>
      </c>
      <c r="J390" s="168" t="s">
        <v>469</v>
      </c>
      <c r="K390" s="188" t="s">
        <v>436</v>
      </c>
      <c r="L390" s="168" t="s">
        <v>535</v>
      </c>
      <c r="M390" s="168">
        <v>89</v>
      </c>
      <c r="N390" s="157" t="str">
        <f>IF(AND(M390=C390, C390&lt;&gt;""), "-", "")</f>
        <v/>
      </c>
      <c r="O390" s="168"/>
      <c r="P390" s="196"/>
      <c r="Q390" s="196"/>
      <c r="R390" s="196"/>
      <c r="S390" s="165"/>
      <c r="T390" s="167"/>
      <c r="U390" s="167"/>
      <c r="V390" s="167"/>
      <c r="W390" s="167"/>
      <c r="X390" s="167"/>
      <c r="Y390" s="197"/>
      <c r="Z390" s="158" t="str">
        <f>IF(AND(SUM(M390,N390)=C390, C390&lt;&gt;0),"DONE"," ")</f>
        <v xml:space="preserve"> </v>
      </c>
      <c r="AA390" s="198">
        <v>46044</v>
      </c>
      <c r="AC390" s="134" t="s">
        <v>570</v>
      </c>
    </row>
    <row r="391" spans="1:30">
      <c r="A391" s="176" t="s">
        <v>702</v>
      </c>
      <c r="B391" s="166">
        <v>46042</v>
      </c>
      <c r="C391" s="167">
        <v>90</v>
      </c>
      <c r="D391" s="288"/>
      <c r="E391" s="165"/>
      <c r="F391" s="167" t="s">
        <v>473</v>
      </c>
      <c r="G391" s="188" t="s">
        <v>436</v>
      </c>
      <c r="H391" s="168">
        <v>90</v>
      </c>
      <c r="I391" s="188" t="s">
        <v>436</v>
      </c>
      <c r="J391" s="168" t="s">
        <v>469</v>
      </c>
      <c r="K391" s="188" t="s">
        <v>436</v>
      </c>
      <c r="L391" s="168" t="s">
        <v>535</v>
      </c>
      <c r="M391" s="168">
        <v>89</v>
      </c>
      <c r="N391" s="157" t="str">
        <f>IF(AND(M391=C391, C391&lt;&gt;""), "-", "")</f>
        <v/>
      </c>
      <c r="O391" s="168"/>
      <c r="P391" s="196"/>
      <c r="Q391" s="196"/>
      <c r="R391" s="196"/>
      <c r="S391" s="165"/>
      <c r="T391" s="167"/>
      <c r="U391" s="167"/>
      <c r="V391" s="167"/>
      <c r="W391" s="167"/>
      <c r="X391" s="167"/>
      <c r="Y391" s="197"/>
      <c r="Z391" s="158" t="str">
        <f>IF(AND(SUM(M391,N391)=C391, C391&lt;&gt;0),"DONE"," ")</f>
        <v xml:space="preserve"> </v>
      </c>
      <c r="AA391" s="198">
        <v>46044</v>
      </c>
      <c r="AC391" s="134" t="s">
        <v>570</v>
      </c>
    </row>
    <row r="392" spans="1:30">
      <c r="A392" s="176" t="s">
        <v>703</v>
      </c>
      <c r="B392" s="166">
        <v>46043</v>
      </c>
      <c r="C392" s="167">
        <v>90</v>
      </c>
      <c r="D392" s="288"/>
      <c r="E392" s="165"/>
      <c r="F392" s="167" t="s">
        <v>562</v>
      </c>
      <c r="G392" s="188" t="s">
        <v>436</v>
      </c>
      <c r="H392" s="168">
        <v>90</v>
      </c>
      <c r="I392" s="188" t="s">
        <v>436</v>
      </c>
      <c r="J392" s="168" t="s">
        <v>469</v>
      </c>
      <c r="K392" s="188" t="s">
        <v>436</v>
      </c>
      <c r="L392" s="168" t="s">
        <v>535</v>
      </c>
      <c r="M392" s="168">
        <v>87</v>
      </c>
      <c r="N392" s="157" t="str">
        <f>IF(AND(M392=C392, C392&lt;&gt;""), "-", "")</f>
        <v/>
      </c>
      <c r="O392" s="168"/>
      <c r="P392" s="196"/>
      <c r="Q392" s="196"/>
      <c r="R392" s="196"/>
      <c r="S392" s="165"/>
      <c r="T392" s="167"/>
      <c r="U392" s="167"/>
      <c r="V392" s="167"/>
      <c r="W392" s="167"/>
      <c r="X392" s="167"/>
      <c r="Y392" s="197"/>
      <c r="Z392" s="158" t="str">
        <f>IF(AND(SUM(M392,N392)=C392, C392&lt;&gt;0),"DONE"," ")</f>
        <v xml:space="preserve"> </v>
      </c>
      <c r="AA392" s="198">
        <v>46044</v>
      </c>
      <c r="AC392" s="134" t="s">
        <v>570</v>
      </c>
    </row>
    <row r="393" spans="1:30">
      <c r="A393" s="176" t="s">
        <v>704</v>
      </c>
      <c r="B393" s="166">
        <v>46043</v>
      </c>
      <c r="C393" s="167">
        <v>90</v>
      </c>
      <c r="D393" s="288"/>
      <c r="E393" s="165"/>
      <c r="F393" s="167" t="s">
        <v>562</v>
      </c>
      <c r="G393" s="188" t="s">
        <v>436</v>
      </c>
      <c r="H393" s="168">
        <v>90</v>
      </c>
      <c r="I393" s="188" t="s">
        <v>436</v>
      </c>
      <c r="J393" s="168" t="s">
        <v>469</v>
      </c>
      <c r="K393" s="188" t="s">
        <v>436</v>
      </c>
      <c r="L393" s="168" t="s">
        <v>535</v>
      </c>
      <c r="M393" s="168">
        <v>87</v>
      </c>
      <c r="N393" s="75" t="str">
        <f>IF(AND(M393=C393, C393&lt;&gt;""), "-", "")</f>
        <v/>
      </c>
      <c r="Z393" s="82" t="str">
        <f>IF(AND(SUM(M393,N393)=C393, C393&lt;&gt;0),"DONE"," ")</f>
        <v xml:space="preserve"> </v>
      </c>
      <c r="AA393" s="198">
        <v>46045</v>
      </c>
      <c r="AC393" s="134" t="s">
        <v>570</v>
      </c>
      <c r="AD393" s="125"/>
    </row>
    <row r="394" spans="1:30">
      <c r="A394" s="176" t="s">
        <v>705</v>
      </c>
      <c r="B394" s="166">
        <v>46044</v>
      </c>
      <c r="C394" s="167">
        <v>90</v>
      </c>
      <c r="D394" s="288"/>
      <c r="E394" s="165"/>
      <c r="F394" s="167" t="s">
        <v>562</v>
      </c>
      <c r="G394" s="188" t="s">
        <v>436</v>
      </c>
      <c r="H394" s="168">
        <v>90</v>
      </c>
      <c r="I394" s="188" t="s">
        <v>436</v>
      </c>
      <c r="J394" s="168" t="s">
        <v>469</v>
      </c>
      <c r="K394" s="188" t="s">
        <v>436</v>
      </c>
      <c r="L394" s="168" t="s">
        <v>535</v>
      </c>
      <c r="M394" s="168">
        <v>90</v>
      </c>
      <c r="N394" s="75" t="str">
        <f>IF(AND(M394=C394, C394&lt;&gt;""), "-", "")</f>
        <v>-</v>
      </c>
      <c r="Z394" s="82" t="str">
        <f>IF(AND(SUM(M394,N394)=C394, C394&lt;&gt;0),"DONE"," ")</f>
        <v>DONE</v>
      </c>
      <c r="AA394" s="198">
        <v>46045</v>
      </c>
      <c r="AC394" s="134" t="s">
        <v>570</v>
      </c>
    </row>
    <row r="395" spans="1:30">
      <c r="A395" s="176" t="s">
        <v>706</v>
      </c>
      <c r="B395" s="166">
        <v>46045</v>
      </c>
      <c r="C395" s="167">
        <v>90</v>
      </c>
      <c r="D395" s="288"/>
      <c r="E395" s="165"/>
      <c r="F395" s="167" t="s">
        <v>562</v>
      </c>
      <c r="G395" s="188" t="s">
        <v>436</v>
      </c>
      <c r="H395" s="168">
        <v>90</v>
      </c>
      <c r="I395" s="188" t="s">
        <v>436</v>
      </c>
      <c r="J395" s="168" t="s">
        <v>469</v>
      </c>
      <c r="K395" s="188" t="s">
        <v>436</v>
      </c>
      <c r="L395" s="168" t="s">
        <v>535</v>
      </c>
      <c r="M395" s="168">
        <v>87</v>
      </c>
      <c r="N395" s="75" t="str">
        <f>IF(AND(M395=C395, C395&lt;&gt;""), "-", "")</f>
        <v/>
      </c>
      <c r="Z395" s="82" t="str">
        <f>IF(AND(SUM(M395,N395)=C395, C395&lt;&gt;0),"DONE"," ")</f>
        <v xml:space="preserve"> </v>
      </c>
      <c r="AA395" s="198">
        <v>46046</v>
      </c>
      <c r="AC395" s="134" t="s">
        <v>570</v>
      </c>
    </row>
    <row r="396" spans="1:30">
      <c r="A396" s="176" t="s">
        <v>7</v>
      </c>
      <c r="B396" s="166">
        <v>46045</v>
      </c>
      <c r="C396" s="167">
        <v>90</v>
      </c>
      <c r="D396" s="288"/>
      <c r="E396" s="165"/>
      <c r="F396" s="167" t="s">
        <v>469</v>
      </c>
      <c r="G396" s="188" t="s">
        <v>436</v>
      </c>
      <c r="H396" s="168">
        <v>90</v>
      </c>
      <c r="I396" s="188" t="s">
        <v>436</v>
      </c>
      <c r="J396" s="168" t="s">
        <v>469</v>
      </c>
      <c r="K396" s="188" t="s">
        <v>436</v>
      </c>
      <c r="L396" s="168" t="s">
        <v>535</v>
      </c>
      <c r="M396" s="168">
        <v>86</v>
      </c>
      <c r="N396" s="157" t="str">
        <f>IF(AND(M396=C396, C396&lt;&gt;""), "-", "")</f>
        <v/>
      </c>
      <c r="O396" s="168"/>
      <c r="P396" s="196"/>
      <c r="Q396" s="196"/>
      <c r="R396" s="196"/>
      <c r="S396" s="165"/>
      <c r="T396" s="167"/>
      <c r="U396" s="167"/>
      <c r="V396" s="167"/>
      <c r="W396" s="167"/>
      <c r="X396" s="167"/>
      <c r="Y396" s="197"/>
      <c r="Z396" s="158" t="str">
        <f>IF(AND(SUM(M396,N396)=C396, C396&lt;&gt;0),"DONE"," ")</f>
        <v xml:space="preserve"> </v>
      </c>
      <c r="AA396" s="198">
        <v>46050</v>
      </c>
      <c r="AC396" s="134" t="s">
        <v>570</v>
      </c>
    </row>
    <row r="397" spans="1:30">
      <c r="A397" s="176" t="s">
        <v>11</v>
      </c>
      <c r="B397" s="166">
        <v>46045</v>
      </c>
      <c r="C397" s="167">
        <v>90</v>
      </c>
      <c r="D397" s="288"/>
      <c r="E397" s="165"/>
      <c r="F397" s="167" t="s">
        <v>469</v>
      </c>
      <c r="G397" s="188" t="s">
        <v>436</v>
      </c>
      <c r="H397" s="168">
        <v>90</v>
      </c>
      <c r="I397" s="188" t="s">
        <v>436</v>
      </c>
      <c r="J397" s="168" t="s">
        <v>469</v>
      </c>
      <c r="K397" s="188" t="s">
        <v>436</v>
      </c>
      <c r="L397" s="168" t="s">
        <v>535</v>
      </c>
      <c r="M397" s="168">
        <v>85</v>
      </c>
      <c r="N397" s="157" t="str">
        <f>IF(AND(M397=C397, C397&lt;&gt;""), "-", "")</f>
        <v/>
      </c>
      <c r="O397" s="168"/>
      <c r="P397" s="196"/>
      <c r="Q397" s="196"/>
      <c r="R397" s="196"/>
      <c r="S397" s="165"/>
      <c r="T397" s="167"/>
      <c r="U397" s="167"/>
      <c r="V397" s="167"/>
      <c r="W397" s="167"/>
      <c r="X397" s="167"/>
      <c r="Y397" s="197"/>
      <c r="Z397" s="158" t="str">
        <f>IF(AND(SUM(M397,N397)=C397, C397&lt;&gt;0),"DONE"," ")</f>
        <v xml:space="preserve"> </v>
      </c>
      <c r="AA397" s="198">
        <v>46050</v>
      </c>
      <c r="AC397" s="134" t="s">
        <v>570</v>
      </c>
    </row>
    <row r="398" spans="1:30">
      <c r="A398" s="176" t="s">
        <v>19</v>
      </c>
      <c r="B398" s="166">
        <v>46048</v>
      </c>
      <c r="C398" s="167">
        <v>90</v>
      </c>
      <c r="D398" s="288"/>
      <c r="E398" s="165"/>
      <c r="F398" s="167" t="s">
        <v>473</v>
      </c>
      <c r="G398" s="188" t="s">
        <v>436</v>
      </c>
      <c r="H398" s="168">
        <v>90</v>
      </c>
      <c r="I398" s="188" t="s">
        <v>436</v>
      </c>
      <c r="J398" s="168" t="s">
        <v>469</v>
      </c>
      <c r="K398" s="188" t="s">
        <v>436</v>
      </c>
      <c r="L398" s="168" t="s">
        <v>535</v>
      </c>
      <c r="M398" s="168">
        <v>88</v>
      </c>
      <c r="N398" s="157" t="str">
        <f>IF(AND(M398=C398, C398&lt;&gt;""), "-", "")</f>
        <v/>
      </c>
      <c r="O398" s="168"/>
      <c r="P398" s="196"/>
      <c r="Q398" s="196"/>
      <c r="R398" s="196"/>
      <c r="S398" s="165"/>
      <c r="T398" s="167"/>
      <c r="U398" s="167"/>
      <c r="V398" s="167"/>
      <c r="W398" s="167"/>
      <c r="X398" s="167"/>
      <c r="Y398" s="197"/>
      <c r="Z398" s="158" t="str">
        <f>IF(AND(SUM(M398,N398)=C398, C398&lt;&gt;0),"DONE"," ")</f>
        <v xml:space="preserve"> </v>
      </c>
      <c r="AA398" s="198">
        <v>46051</v>
      </c>
      <c r="AC398" s="134" t="s">
        <v>570</v>
      </c>
    </row>
    <row r="399" spans="1:30">
      <c r="A399" s="176" t="s">
        <v>15</v>
      </c>
      <c r="B399" s="166">
        <v>46048</v>
      </c>
      <c r="C399" s="167">
        <v>90</v>
      </c>
      <c r="D399" s="288"/>
      <c r="E399" s="165"/>
      <c r="F399" s="167" t="s">
        <v>540</v>
      </c>
      <c r="G399" s="188" t="s">
        <v>436</v>
      </c>
      <c r="H399" s="168">
        <v>90</v>
      </c>
      <c r="I399" s="188" t="s">
        <v>436</v>
      </c>
      <c r="J399" s="168" t="s">
        <v>469</v>
      </c>
      <c r="K399" s="188" t="s">
        <v>436</v>
      </c>
      <c r="L399" s="168" t="s">
        <v>535</v>
      </c>
      <c r="M399" s="168">
        <v>89</v>
      </c>
      <c r="N399" s="75" t="str">
        <f>IF(AND(M399=C399, C399&lt;&gt;""), "-", "")</f>
        <v/>
      </c>
      <c r="Z399" s="82" t="str">
        <f>IF(AND(SUM(M399,N399)=C399, C399&lt;&gt;0),"DONE"," ")</f>
        <v xml:space="preserve"> </v>
      </c>
      <c r="AA399" s="198">
        <v>46052</v>
      </c>
      <c r="AC399" s="134" t="s">
        <v>570</v>
      </c>
    </row>
    <row r="400" spans="1:30">
      <c r="A400" s="176" t="s">
        <v>22</v>
      </c>
      <c r="B400" s="166">
        <v>46049</v>
      </c>
      <c r="C400" s="167">
        <v>90</v>
      </c>
      <c r="D400" s="288"/>
      <c r="E400" s="165"/>
      <c r="F400" s="167" t="s">
        <v>540</v>
      </c>
      <c r="G400" s="188" t="s">
        <v>436</v>
      </c>
      <c r="H400" s="168">
        <v>90</v>
      </c>
      <c r="I400" s="188" t="s">
        <v>436</v>
      </c>
      <c r="J400" s="168" t="s">
        <v>472</v>
      </c>
      <c r="K400" s="188" t="s">
        <v>436</v>
      </c>
      <c r="L400" s="168" t="s">
        <v>535</v>
      </c>
      <c r="M400" s="168">
        <v>89</v>
      </c>
      <c r="N400" s="157" t="str">
        <f>IF(AND(M400=C400, C400&lt;&gt;""), "-", "")</f>
        <v/>
      </c>
      <c r="O400" s="168"/>
      <c r="P400" s="196"/>
      <c r="Q400" s="196"/>
      <c r="R400" s="196"/>
      <c r="S400" s="165"/>
      <c r="T400" s="167"/>
      <c r="U400" s="167"/>
      <c r="V400" s="167"/>
      <c r="W400" s="167"/>
      <c r="X400" s="167"/>
      <c r="Y400" s="197"/>
      <c r="Z400" s="158" t="str">
        <f>IF(AND(SUM(M400,N400)=C400, C400&lt;&gt;0),"DONE"," ")</f>
        <v xml:space="preserve"> </v>
      </c>
      <c r="AA400" s="198">
        <v>46051</v>
      </c>
      <c r="AC400" s="134" t="s">
        <v>570</v>
      </c>
    </row>
    <row r="401" spans="1:29">
      <c r="A401" s="176" t="s">
        <v>25</v>
      </c>
      <c r="B401" s="166">
        <v>46050</v>
      </c>
      <c r="C401" s="167">
        <v>90</v>
      </c>
      <c r="D401" s="288"/>
      <c r="E401" s="165"/>
      <c r="F401" s="167" t="s">
        <v>473</v>
      </c>
      <c r="G401" s="188" t="s">
        <v>436</v>
      </c>
      <c r="H401" s="168">
        <v>90</v>
      </c>
      <c r="I401" s="188" t="s">
        <v>436</v>
      </c>
      <c r="J401" s="168" t="s">
        <v>472</v>
      </c>
      <c r="K401" s="188" t="s">
        <v>436</v>
      </c>
      <c r="L401" s="168" t="s">
        <v>535</v>
      </c>
      <c r="M401" s="168">
        <v>86</v>
      </c>
      <c r="N401" s="157" t="str">
        <f>IF(AND(M401=C401, C401&lt;&gt;""), "-", "")</f>
        <v/>
      </c>
      <c r="O401" s="168"/>
      <c r="P401" s="196"/>
      <c r="Q401" s="196"/>
      <c r="R401" s="196"/>
      <c r="S401" s="165"/>
      <c r="T401" s="167"/>
      <c r="U401" s="167"/>
      <c r="V401" s="167"/>
      <c r="W401" s="167"/>
      <c r="X401" s="167"/>
      <c r="Y401" s="197"/>
      <c r="Z401" s="158" t="str">
        <f>IF(AND(SUM(M401,N401)=C401, C401&lt;&gt;0),"DONE"," ")</f>
        <v xml:space="preserve"> </v>
      </c>
      <c r="AA401" s="198">
        <v>46051</v>
      </c>
      <c r="AC401" s="134" t="s">
        <v>570</v>
      </c>
    </row>
    <row r="402" spans="1:29">
      <c r="A402" s="176" t="s">
        <v>28</v>
      </c>
      <c r="B402" s="166">
        <v>46051</v>
      </c>
      <c r="C402" s="167">
        <v>90</v>
      </c>
      <c r="D402" s="288"/>
      <c r="E402" s="165"/>
      <c r="F402" s="167" t="s">
        <v>540</v>
      </c>
      <c r="G402" s="188" t="s">
        <v>436</v>
      </c>
      <c r="H402" s="168">
        <v>90</v>
      </c>
      <c r="I402" s="188" t="s">
        <v>436</v>
      </c>
      <c r="J402" s="168" t="s">
        <v>472</v>
      </c>
      <c r="K402" s="188" t="s">
        <v>436</v>
      </c>
      <c r="L402" s="168" t="s">
        <v>535</v>
      </c>
      <c r="M402" s="168">
        <v>88</v>
      </c>
      <c r="N402" s="75" t="str">
        <f>IF(AND(M402=C402, C402&lt;&gt;""), "-", "")</f>
        <v/>
      </c>
      <c r="Z402" s="82" t="str">
        <f>IF(AND(SUM(M402,N402)=C402, C402&lt;&gt;0),"DONE"," ")</f>
        <v xml:space="preserve"> </v>
      </c>
      <c r="AA402" s="198">
        <v>46052</v>
      </c>
      <c r="AC402" s="134" t="s">
        <v>570</v>
      </c>
    </row>
    <row r="403" spans="1:29">
      <c r="A403" s="176" t="s">
        <v>707</v>
      </c>
      <c r="B403" s="166">
        <v>46051</v>
      </c>
      <c r="C403" s="167">
        <v>90</v>
      </c>
      <c r="D403" s="288"/>
      <c r="E403" s="165"/>
      <c r="F403" s="167" t="s">
        <v>473</v>
      </c>
      <c r="G403" s="188" t="s">
        <v>436</v>
      </c>
      <c r="H403" s="168">
        <v>90</v>
      </c>
      <c r="I403" s="188" t="s">
        <v>436</v>
      </c>
      <c r="J403" s="168" t="s">
        <v>469</v>
      </c>
      <c r="K403" s="188" t="s">
        <v>436</v>
      </c>
      <c r="L403" s="168" t="s">
        <v>535</v>
      </c>
      <c r="M403" s="168">
        <v>86</v>
      </c>
      <c r="N403" s="75" t="str">
        <f>IF(AND(M403=C403, C403&lt;&gt;""), "-", "")</f>
        <v/>
      </c>
      <c r="Z403" s="82" t="str">
        <f>IF(AND(SUM(M403,N403)=C403, C403&lt;&gt;0),"DONE"," ")</f>
        <v xml:space="preserve"> </v>
      </c>
      <c r="AA403" s="198">
        <v>46052</v>
      </c>
      <c r="AC403" s="134" t="s">
        <v>570</v>
      </c>
    </row>
    <row r="404" spans="1:29">
      <c r="A404" s="176" t="s">
        <v>34</v>
      </c>
      <c r="B404" s="166">
        <v>46052</v>
      </c>
      <c r="C404" s="167">
        <v>90</v>
      </c>
      <c r="D404" s="288"/>
      <c r="E404" s="165"/>
      <c r="F404" s="167" t="s">
        <v>540</v>
      </c>
      <c r="G404" s="188" t="s">
        <v>436</v>
      </c>
      <c r="H404" s="168">
        <v>90</v>
      </c>
      <c r="I404" s="188" t="s">
        <v>436</v>
      </c>
      <c r="J404" s="168" t="s">
        <v>472</v>
      </c>
      <c r="K404" s="188" t="s">
        <v>436</v>
      </c>
      <c r="L404" s="168" t="s">
        <v>535</v>
      </c>
      <c r="M404" s="168">
        <v>89</v>
      </c>
      <c r="N404" s="75" t="str">
        <f>IF(AND(M404=C404, C404&lt;&gt;""), "-", "")</f>
        <v/>
      </c>
      <c r="Z404" s="82" t="str">
        <f>IF(AND(SUM(M404,N404)=C404, C404&lt;&gt;0),"DONE"," ")</f>
        <v xml:space="preserve"> </v>
      </c>
      <c r="AA404" s="198">
        <v>46055</v>
      </c>
      <c r="AC404" s="134" t="s">
        <v>570</v>
      </c>
    </row>
    <row r="405" spans="1:29">
      <c r="A405" s="176" t="s">
        <v>40</v>
      </c>
      <c r="B405" s="166">
        <v>46052</v>
      </c>
      <c r="C405" s="167">
        <v>90</v>
      </c>
      <c r="D405" s="288"/>
      <c r="E405" s="165"/>
      <c r="F405" s="167" t="s">
        <v>473</v>
      </c>
      <c r="G405" s="188" t="s">
        <v>436</v>
      </c>
      <c r="H405" s="168">
        <v>90</v>
      </c>
      <c r="I405" s="188" t="s">
        <v>436</v>
      </c>
      <c r="J405" s="168" t="s">
        <v>469</v>
      </c>
      <c r="K405" s="188" t="s">
        <v>436</v>
      </c>
      <c r="L405" s="168" t="s">
        <v>535</v>
      </c>
      <c r="M405" s="168">
        <v>89</v>
      </c>
      <c r="N405" s="157" t="str">
        <f>IF(AND(M405=C405, C405&lt;&gt;""), "-", "")</f>
        <v/>
      </c>
      <c r="O405" s="168"/>
      <c r="P405" s="196"/>
      <c r="Q405" s="196"/>
      <c r="R405" s="196"/>
      <c r="S405" s="165"/>
      <c r="T405" s="167"/>
      <c r="U405" s="167"/>
      <c r="V405" s="167"/>
      <c r="W405" s="167"/>
      <c r="X405" s="167"/>
      <c r="Y405" s="197"/>
      <c r="Z405" s="158" t="str">
        <f>IF(AND(SUM(M405,N405)=C405, C405&lt;&gt;0),"DONE"," ")</f>
        <v xml:space="preserve"> </v>
      </c>
      <c r="AA405" s="198">
        <v>46056</v>
      </c>
      <c r="AC405" s="134" t="s">
        <v>570</v>
      </c>
    </row>
    <row r="406" spans="1:29">
      <c r="A406" s="176" t="s">
        <v>37</v>
      </c>
      <c r="B406" s="166">
        <v>46052</v>
      </c>
      <c r="C406" s="167">
        <v>90</v>
      </c>
      <c r="D406" s="288"/>
      <c r="E406" s="165"/>
      <c r="F406" s="167" t="s">
        <v>690</v>
      </c>
      <c r="G406" s="188" t="s">
        <v>436</v>
      </c>
      <c r="H406" s="168">
        <v>90</v>
      </c>
      <c r="I406" s="188" t="s">
        <v>436</v>
      </c>
      <c r="J406" s="168" t="s">
        <v>469</v>
      </c>
      <c r="K406" s="188" t="s">
        <v>436</v>
      </c>
      <c r="L406" s="168" t="s">
        <v>535</v>
      </c>
      <c r="M406" s="168">
        <v>88</v>
      </c>
      <c r="N406" s="157" t="str">
        <f>IF(AND(M406=C406, C406&lt;&gt;""), "-", "")</f>
        <v/>
      </c>
      <c r="O406" s="168"/>
      <c r="P406" s="196"/>
      <c r="Q406" s="196"/>
      <c r="R406" s="196"/>
      <c r="S406" s="165"/>
      <c r="T406" s="167"/>
      <c r="U406" s="167"/>
      <c r="V406" s="167"/>
      <c r="W406" s="167"/>
      <c r="X406" s="167"/>
      <c r="Y406" s="197"/>
      <c r="Z406" s="158" t="str">
        <f>IF(AND(SUM(M406,N406)=C406, C406&lt;&gt;0),"DONE"," ")</f>
        <v xml:space="preserve"> </v>
      </c>
      <c r="AA406" s="198">
        <v>46056</v>
      </c>
      <c r="AC406" s="134" t="s">
        <v>570</v>
      </c>
    </row>
    <row r="407" spans="1:29">
      <c r="A407" s="176" t="s">
        <v>43</v>
      </c>
      <c r="B407" s="166">
        <v>46055</v>
      </c>
      <c r="C407" s="167">
        <v>90</v>
      </c>
      <c r="D407" s="288"/>
      <c r="E407" s="165"/>
      <c r="F407" s="167" t="s">
        <v>491</v>
      </c>
      <c r="G407" s="188" t="s">
        <v>436</v>
      </c>
      <c r="H407" s="168">
        <v>90</v>
      </c>
      <c r="I407" s="188" t="s">
        <v>436</v>
      </c>
      <c r="J407" s="168" t="s">
        <v>469</v>
      </c>
      <c r="K407" s="188" t="s">
        <v>436</v>
      </c>
      <c r="L407" s="168" t="s">
        <v>535</v>
      </c>
      <c r="M407" s="168">
        <v>88</v>
      </c>
      <c r="N407" s="157" t="str">
        <f>IF(AND(M407=C407, C407&lt;&gt;""), "-", "")</f>
        <v/>
      </c>
      <c r="O407" s="168"/>
      <c r="P407" s="196"/>
      <c r="Q407" s="196"/>
      <c r="R407" s="196"/>
      <c r="S407" s="165"/>
      <c r="T407" s="167"/>
      <c r="U407" s="167"/>
      <c r="V407" s="167"/>
      <c r="W407" s="167"/>
      <c r="X407" s="167"/>
      <c r="Y407" s="197"/>
      <c r="Z407" s="158" t="str">
        <f>IF(AND(SUM(M407,N407)=C407, C407&lt;&gt;0),"DONE"," ")</f>
        <v xml:space="preserve"> </v>
      </c>
      <c r="AA407" s="198">
        <v>46056</v>
      </c>
      <c r="AC407" s="134" t="s">
        <v>570</v>
      </c>
    </row>
    <row r="408" spans="1:29">
      <c r="A408" s="176" t="s">
        <v>46</v>
      </c>
      <c r="B408" s="166">
        <v>46055</v>
      </c>
      <c r="C408" s="167">
        <v>90</v>
      </c>
      <c r="D408" s="288"/>
      <c r="E408" s="165"/>
      <c r="F408" s="167" t="s">
        <v>536</v>
      </c>
      <c r="G408" s="188" t="s">
        <v>436</v>
      </c>
      <c r="H408" s="168">
        <v>90</v>
      </c>
      <c r="I408" s="188" t="s">
        <v>436</v>
      </c>
      <c r="J408" s="168" t="s">
        <v>469</v>
      </c>
      <c r="K408" s="188" t="s">
        <v>436</v>
      </c>
      <c r="L408" s="168" t="s">
        <v>535</v>
      </c>
      <c r="M408" s="168">
        <v>90</v>
      </c>
      <c r="N408" s="157" t="str">
        <f>IF(AND(M408=C408, C408&lt;&gt;""), "-", "")</f>
        <v>-</v>
      </c>
      <c r="O408" s="168"/>
      <c r="P408" s="196"/>
      <c r="Q408" s="196"/>
      <c r="R408" s="196"/>
      <c r="S408" s="165"/>
      <c r="T408" s="167"/>
      <c r="U408" s="167"/>
      <c r="V408" s="167"/>
      <c r="W408" s="167"/>
      <c r="X408" s="167"/>
      <c r="Y408" s="197"/>
      <c r="Z408" s="158" t="str">
        <f>IF(AND(SUM(M408,N408)=C408, C408&lt;&gt;0),"DONE"," ")</f>
        <v>DONE</v>
      </c>
      <c r="AA408" s="198">
        <v>46057</v>
      </c>
      <c r="AC408" s="134" t="s">
        <v>708</v>
      </c>
    </row>
    <row r="409" spans="1:29">
      <c r="A409" s="176" t="s">
        <v>49</v>
      </c>
      <c r="B409" s="166">
        <v>46055</v>
      </c>
      <c r="C409" s="167">
        <v>90</v>
      </c>
      <c r="D409" s="288"/>
      <c r="E409" s="165"/>
      <c r="F409" s="167" t="s">
        <v>473</v>
      </c>
      <c r="G409" s="188" t="s">
        <v>436</v>
      </c>
      <c r="H409" s="168">
        <v>90</v>
      </c>
      <c r="I409" s="188" t="s">
        <v>436</v>
      </c>
      <c r="J409" s="168" t="s">
        <v>469</v>
      </c>
      <c r="K409" s="188" t="s">
        <v>436</v>
      </c>
      <c r="L409" s="168" t="s">
        <v>535</v>
      </c>
      <c r="M409" s="168">
        <v>89</v>
      </c>
      <c r="N409" s="157" t="str">
        <f>IF(AND(M409=C409, C409&lt;&gt;""), "-", "")</f>
        <v/>
      </c>
      <c r="O409" s="168"/>
      <c r="P409" s="196"/>
      <c r="Q409" s="196"/>
      <c r="R409" s="196"/>
      <c r="S409" s="165"/>
      <c r="T409" s="167"/>
      <c r="U409" s="167"/>
      <c r="V409" s="167"/>
      <c r="W409" s="167"/>
      <c r="X409" s="167"/>
      <c r="Y409" s="197"/>
      <c r="Z409" s="158" t="str">
        <f>IF(AND(SUM(M409,N409)=C409, C409&lt;&gt;0),"DONE"," ")</f>
        <v xml:space="preserve"> </v>
      </c>
      <c r="AA409" s="198">
        <v>46057</v>
      </c>
      <c r="AC409" s="134" t="s">
        <v>708</v>
      </c>
    </row>
    <row r="410" spans="1:29">
      <c r="A410" s="176" t="s">
        <v>55</v>
      </c>
      <c r="B410" s="166">
        <v>46057</v>
      </c>
      <c r="C410" s="167">
        <v>90</v>
      </c>
      <c r="D410" s="288"/>
      <c r="E410" s="165"/>
      <c r="F410" s="167" t="s">
        <v>709</v>
      </c>
      <c r="G410" s="188" t="s">
        <v>436</v>
      </c>
      <c r="H410" s="168">
        <v>90</v>
      </c>
      <c r="I410" s="188" t="s">
        <v>436</v>
      </c>
      <c r="J410" s="168" t="s">
        <v>469</v>
      </c>
      <c r="K410" s="188" t="s">
        <v>436</v>
      </c>
      <c r="L410" s="168" t="s">
        <v>535</v>
      </c>
      <c r="M410" s="168">
        <v>86</v>
      </c>
      <c r="N410" s="75" t="str">
        <f>IF(AND(M410=C410, C410&lt;&gt;""), "-", "")</f>
        <v/>
      </c>
      <c r="Z410" s="82" t="str">
        <f>IF(AND(SUM(M410,N410)=C410, C410&lt;&gt;0),"DONE"," ")</f>
        <v xml:space="preserve"> </v>
      </c>
      <c r="AA410" s="198">
        <v>46059</v>
      </c>
      <c r="AC410" s="134" t="s">
        <v>708</v>
      </c>
    </row>
    <row r="411" spans="1:29">
      <c r="A411" s="176" t="s">
        <v>58</v>
      </c>
      <c r="B411" s="166">
        <v>46058</v>
      </c>
      <c r="C411" s="167">
        <v>90</v>
      </c>
      <c r="D411" s="288"/>
      <c r="E411" s="165"/>
      <c r="F411" s="167" t="s">
        <v>562</v>
      </c>
      <c r="G411" s="188" t="s">
        <v>436</v>
      </c>
      <c r="H411" s="168">
        <v>90</v>
      </c>
      <c r="I411" s="188" t="s">
        <v>436</v>
      </c>
      <c r="J411" s="168" t="s">
        <v>469</v>
      </c>
      <c r="K411" s="188" t="s">
        <v>436</v>
      </c>
      <c r="L411" s="168" t="s">
        <v>535</v>
      </c>
      <c r="M411" s="168">
        <v>85</v>
      </c>
      <c r="N411" s="75" t="str">
        <f>IF(AND(M411=C411, C411&lt;&gt;""), "-", "")</f>
        <v/>
      </c>
      <c r="Z411" s="82" t="str">
        <f>IF(AND(SUM(M411,N411)=C411, C411&lt;&gt;0),"DONE"," ")</f>
        <v xml:space="preserve"> </v>
      </c>
      <c r="AA411" s="198">
        <v>46059</v>
      </c>
      <c r="AC411" s="134" t="s">
        <v>708</v>
      </c>
    </row>
    <row r="412" spans="1:29">
      <c r="A412" s="176" t="s">
        <v>61</v>
      </c>
      <c r="B412" s="166">
        <v>46059</v>
      </c>
      <c r="C412" s="167">
        <v>90</v>
      </c>
      <c r="D412" s="288"/>
      <c r="E412" s="165"/>
      <c r="F412" s="167" t="s">
        <v>562</v>
      </c>
      <c r="G412" s="188" t="s">
        <v>436</v>
      </c>
      <c r="H412" s="168">
        <v>90</v>
      </c>
      <c r="I412" s="188" t="s">
        <v>436</v>
      </c>
      <c r="J412" s="168" t="s">
        <v>469</v>
      </c>
      <c r="K412" s="188" t="s">
        <v>436</v>
      </c>
      <c r="L412" s="168" t="s">
        <v>535</v>
      </c>
      <c r="M412" s="168">
        <v>86</v>
      </c>
      <c r="N412" s="157" t="str">
        <f>IF(AND(M412=C412, C412&lt;&gt;""), "-", "")</f>
        <v/>
      </c>
      <c r="O412" s="168"/>
      <c r="P412" s="196"/>
      <c r="Q412" s="196"/>
      <c r="R412" s="196"/>
      <c r="S412" s="165"/>
      <c r="T412" s="167"/>
      <c r="U412" s="167"/>
      <c r="V412" s="167"/>
      <c r="W412" s="167"/>
      <c r="X412" s="167"/>
      <c r="Y412" s="197"/>
      <c r="Z412" s="158" t="str">
        <f>IF(AND(SUM(M412,N412)=C412, C412&lt;&gt;0),"DONE"," ")</f>
        <v xml:space="preserve"> </v>
      </c>
      <c r="AA412" s="198">
        <v>46062</v>
      </c>
      <c r="AC412" s="134" t="s">
        <v>708</v>
      </c>
    </row>
    <row r="413" spans="1:29">
      <c r="A413" s="176" t="s">
        <v>70</v>
      </c>
      <c r="B413" s="166">
        <v>46060</v>
      </c>
      <c r="C413" s="167">
        <v>90</v>
      </c>
      <c r="D413" s="288"/>
      <c r="E413" s="165"/>
      <c r="F413" s="167" t="s">
        <v>540</v>
      </c>
      <c r="G413" s="188" t="s">
        <v>436</v>
      </c>
      <c r="H413" s="168">
        <v>90</v>
      </c>
      <c r="I413" s="188" t="s">
        <v>436</v>
      </c>
      <c r="J413" s="168" t="s">
        <v>469</v>
      </c>
      <c r="K413" s="188" t="s">
        <v>436</v>
      </c>
      <c r="L413" s="168" t="s">
        <v>535</v>
      </c>
      <c r="M413" s="168">
        <v>86</v>
      </c>
      <c r="N413" s="157" t="str">
        <f>IF(AND(M413=C413, C413&lt;&gt;""), "-", "")</f>
        <v/>
      </c>
      <c r="O413" s="168"/>
      <c r="P413" s="196"/>
      <c r="Q413" s="196"/>
      <c r="R413" s="196"/>
      <c r="S413" s="165"/>
      <c r="T413" s="167"/>
      <c r="U413" s="167"/>
      <c r="V413" s="167"/>
      <c r="W413" s="167"/>
      <c r="X413" s="167"/>
      <c r="Y413" s="197"/>
      <c r="Z413" s="158" t="str">
        <f>IF(AND(SUM(M413,N413)=C413, C413&lt;&gt;0),"DONE"," ")</f>
        <v xml:space="preserve"> </v>
      </c>
      <c r="AA413" s="198">
        <v>46064</v>
      </c>
      <c r="AC413" s="134" t="s">
        <v>708</v>
      </c>
    </row>
    <row r="414" spans="1:29">
      <c r="A414" s="176" t="s">
        <v>67</v>
      </c>
      <c r="B414" s="166">
        <v>46062</v>
      </c>
      <c r="C414" s="167">
        <v>90</v>
      </c>
      <c r="D414" s="288"/>
      <c r="E414" s="165"/>
      <c r="F414" s="167" t="s">
        <v>542</v>
      </c>
      <c r="G414" s="188" t="s">
        <v>436</v>
      </c>
      <c r="H414" s="168">
        <v>90</v>
      </c>
      <c r="I414" s="188" t="s">
        <v>436</v>
      </c>
      <c r="J414" s="168" t="s">
        <v>469</v>
      </c>
      <c r="K414" s="188" t="s">
        <v>436</v>
      </c>
      <c r="L414" s="168" t="s">
        <v>535</v>
      </c>
      <c r="M414" s="168">
        <v>86</v>
      </c>
      <c r="N414" s="75" t="str">
        <f>IF(AND(M414=C414, C414&lt;&gt;""), "-", "")</f>
        <v/>
      </c>
      <c r="Z414" s="82" t="str">
        <f>IF(AND(SUM(M414,N414)=C414, C414&lt;&gt;0),"DONE"," ")</f>
        <v xml:space="preserve"> </v>
      </c>
      <c r="AA414" s="198">
        <v>46063</v>
      </c>
      <c r="AC414" s="134" t="s">
        <v>570</v>
      </c>
    </row>
    <row r="415" spans="1:29">
      <c r="A415" s="176" t="s">
        <v>64</v>
      </c>
      <c r="B415" s="166">
        <v>46062</v>
      </c>
      <c r="C415" s="167">
        <v>90</v>
      </c>
      <c r="D415" s="288"/>
      <c r="E415" s="165"/>
      <c r="F415" s="167" t="s">
        <v>470</v>
      </c>
      <c r="G415" s="188" t="s">
        <v>436</v>
      </c>
      <c r="H415" s="168">
        <v>90</v>
      </c>
      <c r="I415" s="188" t="s">
        <v>436</v>
      </c>
      <c r="J415" s="168" t="s">
        <v>469</v>
      </c>
      <c r="K415" s="188" t="s">
        <v>436</v>
      </c>
      <c r="L415" s="168" t="s">
        <v>535</v>
      </c>
      <c r="M415" s="168">
        <v>89</v>
      </c>
      <c r="N415" s="75" t="str">
        <f>IF(AND(M415=C415, C415&lt;&gt;""), "-", "")</f>
        <v/>
      </c>
      <c r="Z415" s="82" t="str">
        <f>IF(AND(SUM(M415,N415)=C415, C415&lt;&gt;0),"DONE"," ")</f>
        <v xml:space="preserve"> </v>
      </c>
      <c r="AA415" s="198">
        <v>46063</v>
      </c>
      <c r="AC415" s="134" t="s">
        <v>570</v>
      </c>
    </row>
    <row r="416" spans="1:29">
      <c r="A416" s="176" t="s">
        <v>73</v>
      </c>
      <c r="B416" s="166">
        <v>46063</v>
      </c>
      <c r="C416" s="167">
        <v>90</v>
      </c>
      <c r="D416" s="288"/>
      <c r="E416" s="165"/>
      <c r="F416" s="167" t="s">
        <v>562</v>
      </c>
      <c r="G416" s="188" t="s">
        <v>436</v>
      </c>
      <c r="H416" s="168">
        <v>90</v>
      </c>
      <c r="I416" s="188" t="s">
        <v>436</v>
      </c>
      <c r="J416" s="168" t="s">
        <v>469</v>
      </c>
      <c r="K416" s="188" t="s">
        <v>436</v>
      </c>
      <c r="L416" s="168" t="s">
        <v>535</v>
      </c>
      <c r="M416" s="168">
        <v>87</v>
      </c>
      <c r="N416" s="157" t="str">
        <f>IF(AND(M416=C416, C416&lt;&gt;""), "-", "")</f>
        <v/>
      </c>
      <c r="O416" s="168"/>
      <c r="P416" s="196"/>
      <c r="Q416" s="196"/>
      <c r="R416" s="196"/>
      <c r="S416" s="165"/>
      <c r="T416" s="167"/>
      <c r="U416" s="167"/>
      <c r="V416" s="167"/>
      <c r="W416" s="167"/>
      <c r="X416" s="167"/>
      <c r="Y416" s="197"/>
      <c r="Z416" s="158" t="str">
        <f>IF(AND(SUM(M416,N416)=C416, C416&lt;&gt;0),"DONE"," ")</f>
        <v xml:space="preserve"> </v>
      </c>
      <c r="AA416" s="198">
        <v>46064</v>
      </c>
      <c r="AC416" s="125" t="s">
        <v>708</v>
      </c>
    </row>
    <row r="417" spans="1:29">
      <c r="A417" s="176" t="s">
        <v>76</v>
      </c>
      <c r="B417" s="166">
        <v>46064</v>
      </c>
      <c r="C417" s="167">
        <v>90</v>
      </c>
      <c r="D417" s="288"/>
      <c r="E417" s="165"/>
      <c r="F417" s="167" t="s">
        <v>562</v>
      </c>
      <c r="G417" s="188" t="s">
        <v>436</v>
      </c>
      <c r="H417" s="168">
        <v>90</v>
      </c>
      <c r="I417" s="188" t="s">
        <v>436</v>
      </c>
      <c r="J417" s="168" t="s">
        <v>469</v>
      </c>
      <c r="K417" s="188" t="s">
        <v>436</v>
      </c>
      <c r="L417" s="168" t="s">
        <v>535</v>
      </c>
      <c r="M417" s="168">
        <v>89</v>
      </c>
      <c r="N417" s="157" t="str">
        <f>IF(AND(M417=C417, C417&lt;&gt;""), "-", "")</f>
        <v/>
      </c>
      <c r="O417" s="168"/>
      <c r="P417" s="196"/>
      <c r="Q417" s="196"/>
      <c r="R417" s="196"/>
      <c r="S417" s="165"/>
      <c r="T417" s="167"/>
      <c r="U417" s="167"/>
      <c r="V417" s="167"/>
      <c r="W417" s="167"/>
      <c r="X417" s="167"/>
      <c r="Y417" s="197"/>
      <c r="Z417" s="158" t="str">
        <f>IF(AND(SUM(M417,N417)=C417, C417&lt;&gt;0),"DONE"," ")</f>
        <v xml:space="preserve"> </v>
      </c>
      <c r="AA417" s="198">
        <v>46065</v>
      </c>
      <c r="AC417" s="125" t="s">
        <v>708</v>
      </c>
    </row>
    <row r="418" spans="1:29">
      <c r="A418" s="176" t="s">
        <v>86</v>
      </c>
      <c r="B418" s="166">
        <v>46078</v>
      </c>
      <c r="C418" s="167">
        <v>90</v>
      </c>
      <c r="D418" s="288"/>
      <c r="E418" s="165"/>
      <c r="F418" s="167" t="s">
        <v>562</v>
      </c>
      <c r="G418" s="212" t="s">
        <v>436</v>
      </c>
      <c r="H418" s="168">
        <v>90</v>
      </c>
      <c r="I418" s="212" t="s">
        <v>436</v>
      </c>
      <c r="J418" s="168" t="s">
        <v>469</v>
      </c>
      <c r="K418" s="212" t="s">
        <v>436</v>
      </c>
      <c r="L418" s="168" t="s">
        <v>535</v>
      </c>
      <c r="M418" s="168">
        <v>88</v>
      </c>
      <c r="N418" s="157" t="str">
        <f>IF(AND(M418=C418, C418&lt;&gt;""), "-", "")</f>
        <v/>
      </c>
      <c r="O418" s="168"/>
      <c r="P418" s="196"/>
      <c r="Q418" s="196"/>
      <c r="R418" s="196"/>
      <c r="S418" s="165"/>
      <c r="T418" s="167"/>
      <c r="U418" s="167"/>
      <c r="V418" s="167"/>
      <c r="W418" s="167"/>
      <c r="X418" s="167"/>
      <c r="Y418" s="197"/>
      <c r="Z418" s="158" t="str">
        <f>IF(AND(SUM(M418,N418)=C418, C418&lt;&gt;0),"DONE"," ")</f>
        <v xml:space="preserve"> </v>
      </c>
      <c r="AA418" s="198">
        <v>46083</v>
      </c>
      <c r="AC418" s="125" t="s">
        <v>708</v>
      </c>
    </row>
    <row r="419" spans="1:29">
      <c r="A419" s="176" t="s">
        <v>89</v>
      </c>
      <c r="B419" s="166">
        <v>46078</v>
      </c>
      <c r="C419" s="167">
        <v>90</v>
      </c>
      <c r="D419" s="288"/>
      <c r="E419" s="165"/>
      <c r="F419" s="167" t="s">
        <v>519</v>
      </c>
      <c r="G419" s="212" t="s">
        <v>436</v>
      </c>
      <c r="H419" s="168">
        <v>90</v>
      </c>
      <c r="I419" s="212" t="s">
        <v>436</v>
      </c>
      <c r="J419" s="168" t="s">
        <v>469</v>
      </c>
      <c r="K419" s="212" t="s">
        <v>436</v>
      </c>
      <c r="L419" s="168" t="s">
        <v>535</v>
      </c>
      <c r="M419" s="168">
        <v>87</v>
      </c>
      <c r="N419" s="75" t="str">
        <f>IF(AND(M419=C419, C419&lt;&gt;""), "-", "")</f>
        <v/>
      </c>
      <c r="Z419" s="82" t="str">
        <f>IF(AND(SUM(M419,N419)=C419, C419&lt;&gt;0),"DONE"," ")</f>
        <v xml:space="preserve"> </v>
      </c>
      <c r="AA419" s="198">
        <v>46083</v>
      </c>
      <c r="AC419" s="125" t="s">
        <v>570</v>
      </c>
    </row>
    <row r="420" spans="1:29">
      <c r="A420" s="176" t="s">
        <v>83</v>
      </c>
      <c r="B420" s="166">
        <v>46078</v>
      </c>
      <c r="C420" s="167">
        <v>90</v>
      </c>
      <c r="D420" s="288"/>
      <c r="E420" s="165"/>
      <c r="F420" s="167" t="s">
        <v>491</v>
      </c>
      <c r="G420" s="212" t="s">
        <v>436</v>
      </c>
      <c r="H420" s="168">
        <v>90</v>
      </c>
      <c r="I420" s="212" t="s">
        <v>436</v>
      </c>
      <c r="J420" s="168" t="s">
        <v>469</v>
      </c>
      <c r="K420" s="212" t="s">
        <v>436</v>
      </c>
      <c r="L420" s="168" t="s">
        <v>535</v>
      </c>
      <c r="M420" s="168">
        <v>90</v>
      </c>
      <c r="N420" s="75" t="str">
        <f>IF(AND(M420=C420, C420&lt;&gt;""), "-", "")</f>
        <v>-</v>
      </c>
      <c r="Z420" s="82" t="str">
        <f>IF(AND(SUM(M420,N420)=C420, C420&lt;&gt;0),"DONE"," ")</f>
        <v>DONE</v>
      </c>
      <c r="AA420" s="198">
        <v>46083</v>
      </c>
      <c r="AC420" s="125" t="s">
        <v>708</v>
      </c>
    </row>
    <row r="421" spans="1:29">
      <c r="A421" s="176" t="s">
        <v>98</v>
      </c>
      <c r="B421" s="166">
        <v>46081</v>
      </c>
      <c r="C421" s="167">
        <v>90</v>
      </c>
      <c r="D421" s="288"/>
      <c r="E421" s="165"/>
      <c r="F421" s="167" t="s">
        <v>473</v>
      </c>
      <c r="G421" s="218">
        <v>46083.367743055554</v>
      </c>
      <c r="H421" s="168">
        <v>90</v>
      </c>
      <c r="I421" s="219">
        <v>46083.645138888889</v>
      </c>
      <c r="J421" s="168" t="s">
        <v>472</v>
      </c>
      <c r="K421" s="219">
        <f ca="1">IF(J421&lt;&gt;"", IF(K421&lt;&gt;0, K421, NOW()), "")</f>
        <v>46084.402758680553</v>
      </c>
      <c r="L421" s="168" t="s">
        <v>535</v>
      </c>
      <c r="M421" s="168">
        <v>89</v>
      </c>
      <c r="N421" s="75" t="str">
        <f>IF(AND(M421=C421, C421&lt;&gt;""), "-", "")</f>
        <v/>
      </c>
      <c r="Z421" s="82" t="str">
        <f>IF(AND(SUM(M421,N421)=C421, C421&lt;&gt;0),"DONE"," ")</f>
        <v xml:space="preserve"> </v>
      </c>
      <c r="AA421" s="198">
        <v>46084</v>
      </c>
      <c r="AC421" s="125" t="s">
        <v>708</v>
      </c>
    </row>
    <row r="422" spans="1:29">
      <c r="A422" s="176" t="s">
        <v>95</v>
      </c>
      <c r="B422" s="166">
        <v>46081</v>
      </c>
      <c r="C422" s="167">
        <v>90</v>
      </c>
      <c r="D422" s="288"/>
      <c r="E422" s="165"/>
      <c r="F422" s="167" t="s">
        <v>478</v>
      </c>
      <c r="G422" s="220">
        <v>46083.369826388887</v>
      </c>
      <c r="H422" s="168">
        <v>90</v>
      </c>
      <c r="I422" s="218">
        <v>46083.988888888889</v>
      </c>
      <c r="J422" s="168" t="s">
        <v>472</v>
      </c>
      <c r="K422" s="219">
        <v>46083.64166666667</v>
      </c>
      <c r="L422" s="168" t="s">
        <v>535</v>
      </c>
      <c r="M422" s="168">
        <v>85</v>
      </c>
      <c r="N422" s="75" t="str">
        <f>IF(AND(M422=C422, C422&lt;&gt;""), "-", "")</f>
        <v/>
      </c>
      <c r="Z422" s="82" t="str">
        <f>IF(AND(SUM(M422,N422)=C422, C422&lt;&gt;0),"DONE"," ")</f>
        <v xml:space="preserve"> </v>
      </c>
      <c r="AA422" s="198">
        <v>46084</v>
      </c>
      <c r="AC422" s="125" t="s">
        <v>708</v>
      </c>
    </row>
    <row r="423" spans="1:29">
      <c r="A423" s="176" t="s">
        <v>92</v>
      </c>
      <c r="B423" s="166">
        <v>46081</v>
      </c>
      <c r="C423" s="167">
        <v>90</v>
      </c>
      <c r="D423" s="288"/>
      <c r="E423" s="165"/>
      <c r="F423" s="167" t="s">
        <v>690</v>
      </c>
      <c r="G423" s="220">
        <v>46083.370520833334</v>
      </c>
      <c r="H423" s="168">
        <v>90</v>
      </c>
      <c r="I423" s="218">
        <v>46083.975381944445</v>
      </c>
      <c r="J423" s="168" t="s">
        <v>469</v>
      </c>
      <c r="K423" s="218">
        <v>46083.600694444445</v>
      </c>
      <c r="L423" s="168" t="s">
        <v>535</v>
      </c>
      <c r="M423" s="168">
        <v>89</v>
      </c>
      <c r="N423" s="75" t="str">
        <f>IF(AND(M423=C423, C423&lt;&gt;""), "-", "")</f>
        <v/>
      </c>
      <c r="Z423" s="82" t="str">
        <f>IF(AND(SUM(M423,N423)=C423, C423&lt;&gt;0),"DONE"," ")</f>
        <v xml:space="preserve"> </v>
      </c>
      <c r="AA423" s="198">
        <v>46084</v>
      </c>
      <c r="AC423" s="125" t="s">
        <v>708</v>
      </c>
    </row>
    <row r="424" spans="1:29">
      <c r="A424" s="176" t="s">
        <v>105</v>
      </c>
      <c r="B424" s="166">
        <v>46085</v>
      </c>
      <c r="C424" s="167">
        <v>90</v>
      </c>
      <c r="D424" s="288"/>
      <c r="E424" s="165"/>
      <c r="F424" s="167" t="s">
        <v>562</v>
      </c>
      <c r="G424" s="220">
        <f ca="1">IF(F424&lt;&gt;"", IF(G424&lt;&gt;0, G424, NOW()), "")</f>
        <v>46085.39633275463</v>
      </c>
      <c r="H424" s="168">
        <v>90</v>
      </c>
      <c r="I424" s="220">
        <f ca="1">IF(H424&lt;&gt;"", IF(I424&lt;&gt;0, I424, NOW()), "")</f>
        <v>46085.610026041664</v>
      </c>
      <c r="J424" s="168" t="s">
        <v>472</v>
      </c>
      <c r="K424" s="218">
        <f ca="1">IF(J424&lt;&gt;"", IF(K424&lt;&gt;0, K424, NOW()), "")</f>
        <v>46086.5724625</v>
      </c>
      <c r="L424" s="168" t="s">
        <v>535</v>
      </c>
      <c r="M424" s="168">
        <v>88</v>
      </c>
      <c r="N424" s="75" t="str">
        <f>IF(AND(M424=C424, C424&lt;&gt;""), "-", "")</f>
        <v/>
      </c>
      <c r="Z424" s="82" t="str">
        <f>IF(AND(SUM(M424,N424)=C424, C424&lt;&gt;0),"DONE"," ")</f>
        <v xml:space="preserve"> </v>
      </c>
      <c r="AA424" s="198">
        <v>46087</v>
      </c>
      <c r="AC424" s="125" t="s">
        <v>708</v>
      </c>
    </row>
    <row r="425" spans="1:29">
      <c r="A425" s="95" t="s">
        <v>101</v>
      </c>
      <c r="B425" s="94">
        <v>46085</v>
      </c>
      <c r="C425" s="28">
        <v>90</v>
      </c>
      <c r="D425" s="291"/>
      <c r="E425" s="268"/>
      <c r="F425" s="28" t="s">
        <v>491</v>
      </c>
      <c r="G425" s="270">
        <f ca="1">IF(F425&lt;&gt;"", IF(G425&lt;&gt;0, G425, NOW()), "")</f>
        <v>46085.407832523146</v>
      </c>
      <c r="H425" s="29">
        <v>90</v>
      </c>
      <c r="I425" s="271">
        <f ca="1">IF(H425&lt;&gt;"", IF(I425&lt;&gt;0, I425, NOW()), "")</f>
        <v>46085.55754386574</v>
      </c>
      <c r="J425" s="30" t="s">
        <v>469</v>
      </c>
      <c r="K425" s="228">
        <f ca="1">IF(J425&lt;&gt;"", IF(K425&lt;&gt;0, K425, NOW()), "")</f>
        <v>46085.665796527777</v>
      </c>
      <c r="N425" s="75" t="str">
        <f>IF(AND(M425=C425, C425&lt;&gt;""), "-", "")</f>
        <v/>
      </c>
      <c r="Z425" s="82" t="str">
        <f>IF(AND(SUM(M425,N425)=C425, C425&lt;&gt;0),"DONE"," ")</f>
        <v xml:space="preserve"> </v>
      </c>
      <c r="AA425" s="201"/>
      <c r="AC425" s="125" t="s">
        <v>708</v>
      </c>
    </row>
    <row r="426" spans="1:29">
      <c r="A426" s="176" t="s">
        <v>108</v>
      </c>
      <c r="B426" s="166">
        <v>46086</v>
      </c>
      <c r="C426" s="167">
        <v>90</v>
      </c>
      <c r="D426" s="288"/>
      <c r="E426" s="165"/>
      <c r="F426" s="167" t="s">
        <v>540</v>
      </c>
      <c r="G426" s="219">
        <f ca="1">IF(F426&lt;&gt;"", IF(G426&lt;&gt;0, G426, NOW()), "")</f>
        <v>46086.391567129627</v>
      </c>
      <c r="H426" s="168">
        <v>90</v>
      </c>
      <c r="I426" s="220">
        <f ca="1">IF(H426&lt;&gt;"", IF(I426&lt;&gt;0, I426, NOW()), "")</f>
        <v>46086.707109143521</v>
      </c>
      <c r="J426" s="168" t="s">
        <v>472</v>
      </c>
      <c r="K426" s="218">
        <f ca="1">IF(J426&lt;&gt;"", IF(K426&lt;&gt;0, K426, NOW()), "")</f>
        <v>46087.413707291664</v>
      </c>
      <c r="L426" s="168" t="s">
        <v>535</v>
      </c>
      <c r="M426" s="168">
        <v>88</v>
      </c>
      <c r="N426" s="75" t="str">
        <f>IF(AND(M426=C426, C426&lt;&gt;""), "-", "")</f>
        <v/>
      </c>
      <c r="Z426" s="82" t="str">
        <f>IF(AND(SUM(M426,N426)=C426, C426&lt;&gt;0),"DONE"," ")</f>
        <v xml:space="preserve"> </v>
      </c>
      <c r="AA426" s="198">
        <v>46087</v>
      </c>
      <c r="AC426" s="125" t="s">
        <v>708</v>
      </c>
    </row>
    <row r="427" spans="1:29">
      <c r="A427" s="176" t="s">
        <v>111</v>
      </c>
      <c r="B427" s="166">
        <v>46086</v>
      </c>
      <c r="C427" s="167">
        <v>90</v>
      </c>
      <c r="D427" s="288"/>
      <c r="E427" s="165"/>
      <c r="F427" s="167" t="s">
        <v>473</v>
      </c>
      <c r="G427" s="219" t="s">
        <v>710</v>
      </c>
      <c r="H427" s="168">
        <v>90</v>
      </c>
      <c r="I427" s="220">
        <f ca="1">IF(H427&lt;&gt;"", IF(I427&lt;&gt;0, I427, NOW()), "")</f>
        <v>46087.472600231478</v>
      </c>
      <c r="J427" s="168" t="s">
        <v>472</v>
      </c>
      <c r="K427" s="218">
        <f ca="1">IF(J427&lt;&gt;"", IF(K427&lt;&gt;0, K427, NOW()), "")</f>
        <v>46087.603590162034</v>
      </c>
      <c r="L427" s="168" t="s">
        <v>535</v>
      </c>
      <c r="M427" s="168">
        <v>87</v>
      </c>
      <c r="N427" s="75" t="str">
        <f>IF(AND(M427=C427, C427&lt;&gt;""), "-", "")</f>
        <v/>
      </c>
      <c r="Z427" s="82" t="str">
        <f>IF(AND(SUM(M427,N427)=C427, C427&lt;&gt;0),"DONE"," ")</f>
        <v xml:space="preserve"> </v>
      </c>
      <c r="AA427" s="198">
        <v>46087</v>
      </c>
      <c r="AC427" s="125" t="s">
        <v>708</v>
      </c>
    </row>
    <row r="428" spans="1:29">
      <c r="A428" s="176" t="s">
        <v>114</v>
      </c>
      <c r="B428" s="166">
        <v>46087</v>
      </c>
      <c r="C428" s="167">
        <v>90</v>
      </c>
      <c r="D428" s="288"/>
      <c r="E428" s="165"/>
      <c r="F428" s="167" t="s">
        <v>562</v>
      </c>
      <c r="G428" s="219">
        <f ca="1">IF(F428&lt;&gt;"", IF(G428&lt;&gt;0, G428, NOW()), "")</f>
        <v>46087.487905092596</v>
      </c>
      <c r="H428" s="168">
        <v>90</v>
      </c>
      <c r="I428" s="220">
        <f ca="1">IF(H428&lt;&gt;"", IF(I428&lt;&gt;0, I428, NOW()), "")</f>
        <v>46090.381329166667</v>
      </c>
      <c r="J428" s="168" t="s">
        <v>472</v>
      </c>
      <c r="K428" s="220">
        <f ca="1">IF(J428&lt;&gt;"", IF(K428&lt;&gt;0, K428, NOW()), "")</f>
        <v>46090.476356944448</v>
      </c>
      <c r="L428" s="168" t="s">
        <v>535</v>
      </c>
      <c r="M428" s="168">
        <v>85</v>
      </c>
      <c r="N428" s="75" t="str">
        <f>IF(AND(M428=C428, C428&lt;&gt;""), "-", "")</f>
        <v/>
      </c>
      <c r="Z428" s="82" t="str">
        <f>IF(AND(SUM(M428,N428)=C428, C428&lt;&gt;0),"DONE"," ")</f>
        <v xml:space="preserve"> </v>
      </c>
      <c r="AA428" s="198">
        <v>46091</v>
      </c>
      <c r="AC428" s="125" t="s">
        <v>708</v>
      </c>
    </row>
    <row r="429" spans="1:29">
      <c r="A429" s="176" t="s">
        <v>117</v>
      </c>
      <c r="B429" s="166">
        <v>46087</v>
      </c>
      <c r="C429" s="167">
        <v>90</v>
      </c>
      <c r="D429" s="288"/>
      <c r="E429" s="165"/>
      <c r="F429" s="167" t="s">
        <v>470</v>
      </c>
      <c r="G429" s="220">
        <f ca="1">IF(F429&lt;&gt;"", IF(G429&lt;&gt;0, G429, NOW()), "")</f>
        <v>46087.600433449072</v>
      </c>
      <c r="H429" s="168">
        <v>90</v>
      </c>
      <c r="I429" s="220">
        <f ca="1">IF(H429&lt;&gt;"", IF(I429&lt;&gt;0, I429, NOW()), "")</f>
        <v>46090.459251736109</v>
      </c>
      <c r="J429" s="168" t="s">
        <v>472</v>
      </c>
      <c r="K429" s="219">
        <f ca="1">IF(J429&lt;&gt;"", IF(K429&lt;&gt;0, K429, NOW()), "")</f>
        <v>46090.645853587965</v>
      </c>
      <c r="L429" s="168" t="s">
        <v>535</v>
      </c>
      <c r="M429" s="168">
        <v>87</v>
      </c>
      <c r="N429" s="75" t="str">
        <f>IF(AND(M429=C429, C429&lt;&gt;""), "-", "")</f>
        <v/>
      </c>
      <c r="Z429" s="82" t="str">
        <f>IF(AND(SUM(M429,N429)=C429, C429&lt;&gt;0),"DONE"," ")</f>
        <v xml:space="preserve"> </v>
      </c>
      <c r="AA429" s="198">
        <v>46090</v>
      </c>
      <c r="AC429" s="125" t="s">
        <v>708</v>
      </c>
    </row>
    <row r="430" spans="1:29">
      <c r="A430" s="176" t="s">
        <v>120</v>
      </c>
      <c r="B430" s="166">
        <v>46090</v>
      </c>
      <c r="C430" s="167">
        <v>90</v>
      </c>
      <c r="D430" s="288"/>
      <c r="E430" s="165"/>
      <c r="F430" s="167" t="s">
        <v>473</v>
      </c>
      <c r="G430" s="219">
        <f ca="1">IF(F430&lt;&gt;"", IF(G430&lt;&gt;0, G430, NOW()), "")</f>
        <v>46090.36894375</v>
      </c>
      <c r="H430" s="168">
        <v>90</v>
      </c>
      <c r="I430" s="220">
        <f ca="1">IF(H430&lt;&gt;"", IF(I430&lt;&gt;0, I430, NOW()), "")</f>
        <v>46090.668665046294</v>
      </c>
      <c r="J430" s="168" t="s">
        <v>472</v>
      </c>
      <c r="K430" s="219">
        <f ca="1">IF(J430&lt;&gt;"", IF(K430&lt;&gt;0, K430, NOW()), "")</f>
        <v>46091.378585300925</v>
      </c>
      <c r="L430" s="168" t="s">
        <v>535</v>
      </c>
      <c r="M430" s="168">
        <v>88</v>
      </c>
      <c r="N430" s="75" t="str">
        <f>IF(AND(M430=C430, C430&lt;&gt;""), "-", "")</f>
        <v/>
      </c>
      <c r="Z430" s="82" t="str">
        <f>IF(AND(SUM(M430,N430)=C430, C430&lt;&gt;0),"DONE"," ")</f>
        <v xml:space="preserve"> </v>
      </c>
      <c r="AA430" s="198">
        <v>46091</v>
      </c>
      <c r="AC430" s="125" t="s">
        <v>708</v>
      </c>
    </row>
    <row r="431" spans="1:29">
      <c r="A431" s="176" t="s">
        <v>123</v>
      </c>
      <c r="B431" s="166">
        <v>46090</v>
      </c>
      <c r="C431" s="167">
        <v>90</v>
      </c>
      <c r="D431" s="288"/>
      <c r="E431" s="165"/>
      <c r="F431" s="167" t="s">
        <v>540</v>
      </c>
      <c r="G431" s="220">
        <f ca="1">IF(F431&lt;&gt;"", IF(G431&lt;&gt;0, G431, NOW()), "")</f>
        <v>46090.489430555557</v>
      </c>
      <c r="H431" s="168">
        <v>90</v>
      </c>
      <c r="I431" s="220">
        <f ca="1">IF(H431&lt;&gt;"", IF(I431&lt;&gt;0, I431, NOW()), "")</f>
        <v>46091.420553124997</v>
      </c>
      <c r="J431" s="168" t="s">
        <v>472</v>
      </c>
      <c r="K431" s="220">
        <f ca="1">IF(J431&lt;&gt;"", IF(K431&lt;&gt;0, K431, NOW()), "")</f>
        <v>46091.573430787037</v>
      </c>
      <c r="L431" s="168" t="s">
        <v>535</v>
      </c>
      <c r="M431" s="168">
        <v>86</v>
      </c>
      <c r="N431" s="75" t="str">
        <f>IF(AND(M431=C431, C431&lt;&gt;""), "-", "")</f>
        <v/>
      </c>
      <c r="Z431" s="82" t="str">
        <f>IF(AND(SUM(M431,N431)=C431, C431&lt;&gt;0),"DONE"," ")</f>
        <v xml:space="preserve"> </v>
      </c>
      <c r="AA431" s="198">
        <v>46091</v>
      </c>
      <c r="AC431" s="125" t="s">
        <v>708</v>
      </c>
    </row>
    <row r="432" spans="1:29">
      <c r="A432" s="176" t="s">
        <v>132</v>
      </c>
      <c r="B432" s="166">
        <v>46091</v>
      </c>
      <c r="C432" s="167">
        <v>90</v>
      </c>
      <c r="D432" s="288"/>
      <c r="E432" s="165"/>
      <c r="F432" s="167" t="s">
        <v>473</v>
      </c>
      <c r="G432" s="220">
        <f ca="1">IF(F432&lt;&gt;"", IF(G432&lt;&gt;0, G432, NOW()), "")</f>
        <v>46091.391751736111</v>
      </c>
      <c r="H432" s="168">
        <v>90</v>
      </c>
      <c r="I432" s="220" t="s">
        <v>711</v>
      </c>
      <c r="J432" s="168" t="s">
        <v>472</v>
      </c>
      <c r="K432" s="220">
        <f ca="1">IF(J432&lt;&gt;"", IF(K432&lt;&gt;0, K432, NOW()), "")</f>
        <v>46092.458635300929</v>
      </c>
      <c r="L432" s="168" t="s">
        <v>535</v>
      </c>
      <c r="M432" s="168">
        <v>88</v>
      </c>
      <c r="N432" s="75" t="str">
        <f>IF(AND(M432=C432, C432&lt;&gt;""), "-", "")</f>
        <v/>
      </c>
      <c r="Z432" s="82" t="str">
        <f>IF(AND(SUM(M432,N432)=C432, C432&lt;&gt;0),"DONE"," ")</f>
        <v xml:space="preserve"> </v>
      </c>
      <c r="AA432" s="198">
        <v>46093</v>
      </c>
      <c r="AC432" s="125" t="s">
        <v>708</v>
      </c>
    </row>
    <row r="433" spans="1:29">
      <c r="A433" s="176" t="s">
        <v>129</v>
      </c>
      <c r="B433" s="166">
        <v>46091</v>
      </c>
      <c r="C433" s="167">
        <v>90</v>
      </c>
      <c r="D433" s="288"/>
      <c r="E433" s="165"/>
      <c r="F433" s="167" t="s">
        <v>540</v>
      </c>
      <c r="G433" s="219">
        <f ca="1">IF(F433&lt;&gt;"", IF(G433&lt;&gt;0, G433, NOW()), "")</f>
        <v>46091.422485648145</v>
      </c>
      <c r="H433" s="168">
        <v>90</v>
      </c>
      <c r="I433" s="220">
        <f ca="1">IF(H433&lt;&gt;"", IF(I433&lt;&gt;0, I433, NOW()), "")</f>
        <v>46091.714415046299</v>
      </c>
      <c r="J433" s="168" t="s">
        <v>469</v>
      </c>
      <c r="K433" s="220">
        <f ca="1">IF(J433&lt;&gt;"", IF(K433&lt;&gt;0, K433, NOW()), "")</f>
        <v>46092.431198726852</v>
      </c>
      <c r="L433" s="168" t="s">
        <v>535</v>
      </c>
      <c r="M433" s="168">
        <v>88</v>
      </c>
      <c r="N433" s="75" t="str">
        <f>IF(AND(M433=C433, C433&lt;&gt;""), "-", "")</f>
        <v/>
      </c>
      <c r="Z433" s="82" t="str">
        <f>IF(AND(SUM(M433,N433)=C433, C433&lt;&gt;0),"DONE"," ")</f>
        <v xml:space="preserve"> </v>
      </c>
      <c r="AA433" s="198">
        <v>46093</v>
      </c>
      <c r="AC433" s="125" t="s">
        <v>708</v>
      </c>
    </row>
    <row r="434" spans="1:29">
      <c r="A434" s="176" t="s">
        <v>126</v>
      </c>
      <c r="B434" s="166">
        <v>46091</v>
      </c>
      <c r="C434" s="167">
        <v>90</v>
      </c>
      <c r="D434" s="288"/>
      <c r="E434" s="165"/>
      <c r="F434" s="167" t="s">
        <v>470</v>
      </c>
      <c r="G434" s="220">
        <f ca="1">IF(F434&lt;&gt;"", IF(G434&lt;&gt;0, G434, NOW()), "")</f>
        <v>46091.419757523145</v>
      </c>
      <c r="H434" s="168">
        <v>90</v>
      </c>
      <c r="I434" s="220">
        <f ca="1">IF(H434&lt;&gt;"", IF(I434&lt;&gt;0, I434, NOW()), "")</f>
        <v>46091.642155555557</v>
      </c>
      <c r="J434" s="168" t="s">
        <v>472</v>
      </c>
      <c r="K434" s="220">
        <f ca="1">IF(J434&lt;&gt;"", IF(K434&lt;&gt;0, K434, NOW()), "")</f>
        <v>46092.396284490744</v>
      </c>
      <c r="L434" s="168" t="s">
        <v>535</v>
      </c>
      <c r="M434" s="168">
        <v>88</v>
      </c>
      <c r="N434" s="75" t="str">
        <f>IF(AND(M434=C434, C434&lt;&gt;""), "-", "")</f>
        <v/>
      </c>
      <c r="Z434" s="82" t="str">
        <f>IF(AND(SUM(M434,N434)=C434, C434&lt;&gt;0),"DONE"," ")</f>
        <v xml:space="preserve"> </v>
      </c>
      <c r="AA434" s="198">
        <v>46093</v>
      </c>
      <c r="AC434" s="125" t="s">
        <v>708</v>
      </c>
    </row>
    <row r="435" spans="1:29">
      <c r="A435" s="176" t="s">
        <v>135</v>
      </c>
      <c r="B435" s="166">
        <v>46092</v>
      </c>
      <c r="C435" s="167">
        <v>90</v>
      </c>
      <c r="D435" s="288"/>
      <c r="E435" s="165"/>
      <c r="F435" s="167" t="s">
        <v>540</v>
      </c>
      <c r="G435" s="220">
        <f ca="1">IF(F435&lt;&gt;"", IF(G435&lt;&gt;0, G435, NOW()), "")</f>
        <v>46092.45300277778</v>
      </c>
      <c r="H435" s="168">
        <v>90</v>
      </c>
      <c r="I435" s="220">
        <f ca="1">IF(H435&lt;&gt;"", IF(I435&lt;&gt;0, I435, NOW()), "")</f>
        <v>46093.460848495371</v>
      </c>
      <c r="J435" s="168" t="s">
        <v>469</v>
      </c>
      <c r="K435" s="220">
        <f ca="1">IF(J435&lt;&gt;"", IF(K435&lt;&gt;0, K435, NOW()), "")</f>
        <v>46093.48624953704</v>
      </c>
      <c r="L435" s="168" t="s">
        <v>535</v>
      </c>
      <c r="M435" s="168">
        <v>87</v>
      </c>
      <c r="N435" s="75" t="str">
        <f>IF(AND(M435=C435, C435&lt;&gt;""), "-", "")</f>
        <v/>
      </c>
      <c r="Z435" s="82" t="str">
        <f>IF(AND(SUM(M435,N435)=C435, C435&lt;&gt;0),"DONE"," ")</f>
        <v xml:space="preserve"> </v>
      </c>
      <c r="AA435" s="198">
        <v>46093</v>
      </c>
      <c r="AC435" s="125" t="s">
        <v>708</v>
      </c>
    </row>
    <row r="436" spans="1:29">
      <c r="A436" s="176" t="s">
        <v>141</v>
      </c>
      <c r="B436" s="166">
        <v>46092</v>
      </c>
      <c r="C436" s="167">
        <v>90</v>
      </c>
      <c r="D436" s="288"/>
      <c r="E436" s="165"/>
      <c r="F436" s="167" t="s">
        <v>473</v>
      </c>
      <c r="G436" s="219" t="s">
        <v>712</v>
      </c>
      <c r="H436" s="168">
        <v>90</v>
      </c>
      <c r="I436" s="220" t="s">
        <v>713</v>
      </c>
      <c r="J436" s="168" t="s">
        <v>472</v>
      </c>
      <c r="K436" s="220">
        <f ca="1">IF(J436&lt;&gt;"", IF(K436&lt;&gt;0, K436, NOW()), "")</f>
        <v>46093.657162268515</v>
      </c>
      <c r="L436" s="168" t="s">
        <v>535</v>
      </c>
      <c r="M436" s="168">
        <v>89</v>
      </c>
      <c r="N436" s="75" t="str">
        <f>IF(AND(M436=C436, C436&lt;&gt;""), "-", "")</f>
        <v/>
      </c>
      <c r="Z436" s="82" t="str">
        <f>IF(AND(SUM(M436,N436)=C436, C436&lt;&gt;0),"DONE"," ")</f>
        <v xml:space="preserve"> </v>
      </c>
      <c r="AA436" s="198">
        <v>46094</v>
      </c>
      <c r="AC436" s="125" t="s">
        <v>708</v>
      </c>
    </row>
    <row r="437" spans="1:29">
      <c r="A437" s="176" t="s">
        <v>138</v>
      </c>
      <c r="B437" s="166">
        <v>46092</v>
      </c>
      <c r="C437" s="167">
        <v>90</v>
      </c>
      <c r="D437" s="288"/>
      <c r="E437" s="165"/>
      <c r="F437" s="167" t="s">
        <v>470</v>
      </c>
      <c r="G437" s="220">
        <f ca="1">IF(F437&lt;&gt;"", IF(G437&lt;&gt;0, G437, NOW()), "")</f>
        <v>46092.458564351851</v>
      </c>
      <c r="H437" s="168">
        <v>90</v>
      </c>
      <c r="I437" s="220">
        <f ca="1">IF(H437&lt;&gt;"", IF(I437&lt;&gt;0, I437, NOW()), "")</f>
        <v>46092.633907175928</v>
      </c>
      <c r="J437" s="168" t="s">
        <v>472</v>
      </c>
      <c r="K437" s="219">
        <f ca="1">IF(J437&lt;&gt;"", IF(K437&lt;&gt;0, K437, NOW()), "")</f>
        <v>46093.486937152775</v>
      </c>
      <c r="L437" s="168" t="s">
        <v>535</v>
      </c>
      <c r="M437" s="168">
        <v>88</v>
      </c>
      <c r="N437" s="75" t="str">
        <f>IF(AND(M437=C437, C437&lt;&gt;""), "-", "")</f>
        <v/>
      </c>
      <c r="Z437" s="82" t="str">
        <f>IF(AND(SUM(M437,N437)=C437, C437&lt;&gt;0),"DONE"," ")</f>
        <v xml:space="preserve"> </v>
      </c>
      <c r="AA437" s="198">
        <v>46094</v>
      </c>
      <c r="AC437" s="125" t="s">
        <v>708</v>
      </c>
    </row>
    <row r="438" spans="1:29">
      <c r="A438" s="176" t="s">
        <v>147</v>
      </c>
      <c r="B438" s="166">
        <v>46093</v>
      </c>
      <c r="C438" s="167">
        <v>90</v>
      </c>
      <c r="D438" s="288"/>
      <c r="E438" s="165"/>
      <c r="F438" s="167" t="s">
        <v>542</v>
      </c>
      <c r="G438" s="220">
        <f ca="1">IF(F438&lt;&gt;"", IF(G438&lt;&gt;0, G438, NOW()), "")</f>
        <v>46093.389896527777</v>
      </c>
      <c r="H438" s="168">
        <v>90</v>
      </c>
      <c r="I438" s="220" t="s">
        <v>714</v>
      </c>
      <c r="J438" s="168" t="s">
        <v>472</v>
      </c>
      <c r="K438" s="219">
        <f ca="1">IF(J438&lt;&gt;"", IF(K438&lt;&gt;0, K438, NOW()), "")</f>
        <v>46094.419269328704</v>
      </c>
      <c r="L438" s="168" t="s">
        <v>535</v>
      </c>
      <c r="M438" s="168">
        <v>84</v>
      </c>
      <c r="N438" s="75" t="str">
        <f>IF(AND(M438=C438, C438&lt;&gt;""), "-", "")</f>
        <v/>
      </c>
      <c r="Z438" s="82" t="str">
        <f>IF(AND(SUM(M438,N438)=C438, C438&lt;&gt;0),"DONE"," ")</f>
        <v xml:space="preserve"> </v>
      </c>
      <c r="AA438" s="198">
        <v>46094</v>
      </c>
      <c r="AC438" s="125" t="s">
        <v>708</v>
      </c>
    </row>
    <row r="439" spans="1:29">
      <c r="A439" s="176" t="s">
        <v>144</v>
      </c>
      <c r="B439" s="166">
        <v>46093</v>
      </c>
      <c r="C439" s="167">
        <v>90</v>
      </c>
      <c r="D439" s="288"/>
      <c r="E439" s="165"/>
      <c r="F439" s="167" t="s">
        <v>540</v>
      </c>
      <c r="G439" s="220">
        <f ca="1">IF(F439&lt;&gt;"", IF(G439&lt;&gt;0, G439, NOW()), "")</f>
        <v>46093.389954513892</v>
      </c>
      <c r="H439" s="168">
        <v>90</v>
      </c>
      <c r="I439" s="220">
        <f ca="1">IF(H439&lt;&gt;"", IF(I439&lt;&gt;0, I439, NOW()), "")</f>
        <v>46093.657061921294</v>
      </c>
      <c r="J439" s="168" t="s">
        <v>469</v>
      </c>
      <c r="K439" s="219">
        <f ca="1">IF(J439&lt;&gt;"", IF(K439&lt;&gt;0, K439, NOW()), "")</f>
        <v>46093.725427777776</v>
      </c>
      <c r="L439" s="168" t="s">
        <v>535</v>
      </c>
      <c r="M439" s="168">
        <v>88</v>
      </c>
      <c r="N439" s="75" t="str">
        <f>IF(AND(M439=C439, C439&lt;&gt;""), "-", "")</f>
        <v/>
      </c>
      <c r="Z439" s="82" t="str">
        <f>IF(AND(SUM(M439,N439)=C439, C439&lt;&gt;0),"DONE"," ")</f>
        <v xml:space="preserve"> </v>
      </c>
      <c r="AA439" s="198">
        <v>46094</v>
      </c>
      <c r="AC439" s="125" t="s">
        <v>708</v>
      </c>
    </row>
    <row r="440" spans="1:29">
      <c r="A440" s="176" t="s">
        <v>165</v>
      </c>
      <c r="B440" s="205">
        <v>46097</v>
      </c>
      <c r="C440" s="167">
        <v>90</v>
      </c>
      <c r="D440" s="288"/>
      <c r="E440" s="165"/>
      <c r="F440" s="167" t="s">
        <v>540</v>
      </c>
      <c r="G440" s="264" t="s">
        <v>715</v>
      </c>
      <c r="H440" s="168">
        <v>90</v>
      </c>
      <c r="I440" s="220">
        <f ca="1">IF(H440&lt;&gt;"", IF(I440&lt;&gt;0, I440, NOW()), "")</f>
        <v>46097.652525694444</v>
      </c>
      <c r="J440" s="168" t="s">
        <v>469</v>
      </c>
      <c r="K440" s="220">
        <f ca="1">IF(J440&lt;&gt;"", IF(K440&lt;&gt;0, K440, NOW()), "")</f>
        <v>46098.434697800927</v>
      </c>
      <c r="L440" s="168" t="s">
        <v>535</v>
      </c>
      <c r="M440" s="168">
        <v>86</v>
      </c>
      <c r="N440" s="75" t="str">
        <f>IF(AND(M440=C440, C440&lt;&gt;""), "-", "")</f>
        <v/>
      </c>
      <c r="Z440" s="82" t="str">
        <f>IF(AND(SUM(M440,N440)=C440, C440&lt;&gt;0),"DONE"," ")</f>
        <v xml:space="preserve"> </v>
      </c>
      <c r="AA440" s="198">
        <v>46098</v>
      </c>
      <c r="AC440" s="125" t="s">
        <v>708</v>
      </c>
    </row>
    <row r="441" spans="1:29">
      <c r="A441" s="176" t="s">
        <v>150</v>
      </c>
      <c r="B441" s="166">
        <v>46094</v>
      </c>
      <c r="C441" s="167">
        <v>90</v>
      </c>
      <c r="D441" s="288"/>
      <c r="E441" s="165"/>
      <c r="F441" s="167" t="s">
        <v>540</v>
      </c>
      <c r="G441" s="220">
        <f ca="1">IF(F441&lt;&gt;"", IF(G441&lt;&gt;0, G441, NOW()), "")</f>
        <v>46094.381000347224</v>
      </c>
      <c r="H441" s="168">
        <v>90</v>
      </c>
      <c r="I441" s="220">
        <f ca="1">IF(H441&lt;&gt;"", IF(I441&lt;&gt;0, I441, NOW()), "")</f>
        <v>46094.711604166667</v>
      </c>
      <c r="J441" s="168" t="s">
        <v>469</v>
      </c>
      <c r="K441" s="220">
        <f ca="1">IF(J441&lt;&gt;"", IF(K441&lt;&gt;0, K441, NOW()), "")</f>
        <v>46097.459644560186</v>
      </c>
      <c r="L441" s="168" t="s">
        <v>535</v>
      </c>
      <c r="M441" s="168">
        <v>85</v>
      </c>
      <c r="N441" s="75" t="str">
        <f>IF(AND(M441=C441, C441&lt;&gt;""), "-", "")</f>
        <v/>
      </c>
      <c r="Z441" s="82" t="str">
        <f>IF(AND(SUM(M441,N441)=C441, C441&lt;&gt;0),"DONE"," ")</f>
        <v xml:space="preserve"> </v>
      </c>
      <c r="AA441" s="198">
        <v>46097</v>
      </c>
      <c r="AC441" s="125" t="s">
        <v>708</v>
      </c>
    </row>
    <row r="442" spans="1:29">
      <c r="A442" s="176" t="s">
        <v>153</v>
      </c>
      <c r="B442" s="166">
        <v>46094</v>
      </c>
      <c r="C442" s="167">
        <v>90</v>
      </c>
      <c r="D442" s="288"/>
      <c r="E442" s="165"/>
      <c r="F442" s="167" t="s">
        <v>473</v>
      </c>
      <c r="G442" s="220">
        <f ca="1">IF(F442&lt;&gt;"", IF(G442&lt;&gt;0, G442, NOW()), "")</f>
        <v>46094.396319907406</v>
      </c>
      <c r="H442" s="168">
        <v>90</v>
      </c>
      <c r="I442" s="220" t="s">
        <v>716</v>
      </c>
      <c r="J442" s="168" t="s">
        <v>472</v>
      </c>
      <c r="K442" s="220">
        <f ca="1">IF(J442&lt;&gt;"", IF(K442&lt;&gt;0, K442, NOW()), "")</f>
        <v>46097.559389351853</v>
      </c>
      <c r="L442" s="168" t="s">
        <v>535</v>
      </c>
      <c r="M442" s="168">
        <v>88</v>
      </c>
      <c r="N442" s="75" t="str">
        <f>IF(AND(M442=C442, C442&lt;&gt;""), "-", "")</f>
        <v/>
      </c>
      <c r="Z442" s="82" t="str">
        <f>IF(AND(SUM(M442,N442)=C442, C442&lt;&gt;0),"DONE"," ")</f>
        <v xml:space="preserve"> </v>
      </c>
      <c r="AA442" s="198">
        <v>46097</v>
      </c>
      <c r="AC442" s="125" t="s">
        <v>708</v>
      </c>
    </row>
    <row r="443" spans="1:29">
      <c r="A443" s="176" t="s">
        <v>156</v>
      </c>
      <c r="B443" s="166">
        <v>46094</v>
      </c>
      <c r="C443" s="167">
        <v>90</v>
      </c>
      <c r="D443" s="288"/>
      <c r="E443" s="165"/>
      <c r="F443" s="167" t="s">
        <v>470</v>
      </c>
      <c r="G443" s="219">
        <f ca="1">IF(F443&lt;&gt;"", IF(G443&lt;&gt;0, G443, NOW()), "")</f>
        <v>46094.407734143519</v>
      </c>
      <c r="H443" s="168">
        <v>90</v>
      </c>
      <c r="I443" s="220">
        <v>46094.676388888889</v>
      </c>
      <c r="J443" s="168" t="s">
        <v>469</v>
      </c>
      <c r="K443" s="220">
        <f ca="1">IF(J443&lt;&gt;"", IF(K443&lt;&gt;0, K443, NOW()), "")</f>
        <v>46097.624683564813</v>
      </c>
      <c r="L443" s="168" t="s">
        <v>535</v>
      </c>
      <c r="M443" s="168">
        <v>85</v>
      </c>
      <c r="N443" s="75" t="str">
        <f>IF(AND(M443=C443, C443&lt;&gt;""), "-", "")</f>
        <v/>
      </c>
      <c r="Z443" s="82" t="str">
        <f>IF(AND(SUM(M443,N443)=C443, C443&lt;&gt;0),"DONE"," ")</f>
        <v xml:space="preserve"> </v>
      </c>
      <c r="AA443" s="198">
        <v>46098</v>
      </c>
      <c r="AC443" s="125" t="s">
        <v>708</v>
      </c>
    </row>
    <row r="444" spans="1:29">
      <c r="A444" s="176" t="s">
        <v>717</v>
      </c>
      <c r="B444" s="262">
        <v>46094.756863425922</v>
      </c>
      <c r="C444" s="167">
        <v>90</v>
      </c>
      <c r="D444" s="288" t="s">
        <v>718</v>
      </c>
      <c r="E444" s="165" t="str">
        <f>CONCATENATE(A444,"_",D444)</f>
        <v>MS_060326_001_V001</v>
      </c>
      <c r="F444" s="167" t="s">
        <v>473</v>
      </c>
      <c r="G444" s="220">
        <f ca="1">IF(F444&lt;&gt;"", IF(G444&lt;&gt;0, G444, NOW()), "")</f>
        <v>46097.369381597222</v>
      </c>
      <c r="H444" s="168">
        <v>90</v>
      </c>
      <c r="I444" s="220" t="s">
        <v>719</v>
      </c>
      <c r="J444" s="168" t="s">
        <v>472</v>
      </c>
      <c r="K444" s="220">
        <f ca="1">IF(J444&lt;&gt;"", IF(K444&lt;&gt;0, K444, NOW()), "")</f>
        <v>46098.383576273147</v>
      </c>
      <c r="L444" s="168" t="s">
        <v>535</v>
      </c>
      <c r="M444" s="168">
        <v>88</v>
      </c>
      <c r="N444" s="75" t="str">
        <f>IF(AND(M444=C444, C444&lt;&gt;""), "-", "")</f>
        <v/>
      </c>
      <c r="Z444" s="82" t="str">
        <f>IF(AND(SUM(M444,N444)=C444, C444&lt;&gt;0),"DONE"," ")</f>
        <v xml:space="preserve"> </v>
      </c>
      <c r="AA444" s="198">
        <v>46098</v>
      </c>
      <c r="AC444" s="125" t="s">
        <v>708</v>
      </c>
    </row>
    <row r="445" spans="1:29">
      <c r="A445" s="176" t="s">
        <v>720</v>
      </c>
      <c r="B445" s="262">
        <v>46094.770752314813</v>
      </c>
      <c r="C445" s="167">
        <v>90</v>
      </c>
      <c r="D445" s="288" t="s">
        <v>721</v>
      </c>
      <c r="E445" s="165" t="str">
        <f>CONCATENATE(A445,"_",D445)</f>
        <v>MS_060326_002_V002</v>
      </c>
      <c r="F445" s="167" t="s">
        <v>470</v>
      </c>
      <c r="G445" s="219">
        <f ca="1">IF(F445&lt;&gt;"", IF(G445&lt;&gt;0, G445, NOW()), "")</f>
        <v>46097.371020023151</v>
      </c>
      <c r="H445" s="168">
        <v>90</v>
      </c>
      <c r="I445" s="220" t="s">
        <v>722</v>
      </c>
      <c r="J445" s="168" t="s">
        <v>472</v>
      </c>
      <c r="K445" s="220">
        <f ca="1">IF(J445&lt;&gt;"", IF(K445&lt;&gt;0, K445, NOW()), "")</f>
        <v>46097.659496064814</v>
      </c>
      <c r="L445" s="168" t="s">
        <v>535</v>
      </c>
      <c r="M445" s="168">
        <v>87</v>
      </c>
      <c r="N445" s="75" t="str">
        <f>IF(AND(M445=C445, C445&lt;&gt;""), "-", "")</f>
        <v/>
      </c>
      <c r="Z445" s="82" t="str">
        <f>IF(AND(SUM(M445,N445)=C445, C445&lt;&gt;0),"DONE"," ")</f>
        <v xml:space="preserve"> </v>
      </c>
      <c r="AA445" s="198">
        <v>46097</v>
      </c>
      <c r="AC445" s="125" t="s">
        <v>708</v>
      </c>
    </row>
    <row r="446" spans="1:29">
      <c r="A446" s="244" t="s">
        <v>723</v>
      </c>
      <c r="B446" s="261">
        <v>46097.389502314814</v>
      </c>
      <c r="C446" s="107">
        <v>90</v>
      </c>
      <c r="D446" s="291" t="s">
        <v>724</v>
      </c>
      <c r="E446" s="268" t="str">
        <f>CONCATENATE(A446,"_",D446)</f>
        <v>MS_060326_004_V003</v>
      </c>
      <c r="F446" s="28" t="s">
        <v>473</v>
      </c>
      <c r="G446" s="271" t="s">
        <v>725</v>
      </c>
      <c r="H446" s="29">
        <v>90</v>
      </c>
      <c r="I446" s="271">
        <f ca="1">IF(H446&lt;&gt;"", IF(I446&lt;&gt;0, I446, NOW()), "")</f>
        <v>46100.497105787035</v>
      </c>
      <c r="J446" s="30" t="s">
        <v>472</v>
      </c>
      <c r="K446" s="214">
        <f ca="1">IF(J446&lt;&gt;"", IF(K446&lt;&gt;0, K446, NOW()), "")</f>
        <v>46100.611633449073</v>
      </c>
      <c r="L446" s="30" t="s">
        <v>535</v>
      </c>
      <c r="M446" s="30">
        <v>90</v>
      </c>
      <c r="N446" s="75" t="str">
        <f>IF(AND(M446=C446, C446&lt;&gt;""), "-", "")</f>
        <v>-</v>
      </c>
      <c r="Z446" s="82" t="str">
        <f>IF(AND(SUM(M446,N446)=C446, C446&lt;&gt;0),"DONE"," ")</f>
        <v>DONE</v>
      </c>
      <c r="AA446" s="296">
        <v>46104</v>
      </c>
      <c r="AC446" s="125" t="s">
        <v>708</v>
      </c>
    </row>
    <row r="447" spans="1:29">
      <c r="A447" s="176" t="s">
        <v>726</v>
      </c>
      <c r="B447" s="262">
        <v>46097.396886574075</v>
      </c>
      <c r="C447" s="167">
        <v>90</v>
      </c>
      <c r="D447" s="288" t="s">
        <v>727</v>
      </c>
      <c r="E447" s="165" t="str">
        <f>CONCATENATE(A447,"_",D447)</f>
        <v>MS_090326_001_V004</v>
      </c>
      <c r="F447" s="167" t="s">
        <v>470</v>
      </c>
      <c r="G447" s="219">
        <f ca="1">IF(F447&lt;&gt;"", IF(G447&lt;&gt;0, G447, NOW()), "")</f>
        <v>46097.605753935182</v>
      </c>
      <c r="H447" s="168">
        <v>90</v>
      </c>
      <c r="I447" s="220">
        <f ca="1">IF(H447&lt;&gt;"", IF(I447&lt;&gt;0, I447, NOW()), "")</f>
        <v>46098.415770370368</v>
      </c>
      <c r="J447" s="168" t="s">
        <v>472</v>
      </c>
      <c r="K447" s="220">
        <f ca="1">IF(J447&lt;&gt;"", IF(K447&lt;&gt;0, K447, NOW()), "")</f>
        <v>46098.490512962962</v>
      </c>
      <c r="L447" s="168" t="s">
        <v>535</v>
      </c>
      <c r="M447" s="168">
        <v>88</v>
      </c>
      <c r="N447" s="75" t="str">
        <f>IF(AND(M447=C447, C447&lt;&gt;""), "-", "")</f>
        <v/>
      </c>
      <c r="Z447" s="82" t="str">
        <f>IF(AND(SUM(M447,N447)=C447, C447&lt;&gt;0),"DONE"," ")</f>
        <v xml:space="preserve"> </v>
      </c>
      <c r="AA447" s="198">
        <v>46098</v>
      </c>
      <c r="AC447" s="125" t="s">
        <v>708</v>
      </c>
    </row>
    <row r="448" spans="1:29">
      <c r="A448" s="176" t="s">
        <v>728</v>
      </c>
      <c r="B448" s="262">
        <v>46097.400358796294</v>
      </c>
      <c r="C448" s="167">
        <v>90</v>
      </c>
      <c r="D448" s="288" t="s">
        <v>729</v>
      </c>
      <c r="E448" s="165" t="str">
        <f>CONCATENATE(A448,"_",D448)</f>
        <v>MS_090326_002_V005</v>
      </c>
      <c r="F448" s="167" t="s">
        <v>540</v>
      </c>
      <c r="G448" s="220">
        <f ca="1">IF(F448&lt;&gt;"", IF(G448&lt;&gt;0, G448, NOW()), "")</f>
        <v>46097.660435300924</v>
      </c>
      <c r="H448" s="168">
        <v>90</v>
      </c>
      <c r="I448" s="220" t="s">
        <v>730</v>
      </c>
      <c r="J448" s="168" t="s">
        <v>469</v>
      </c>
      <c r="K448" s="218">
        <f ca="1">IF(J448&lt;&gt;"", IF(K448&lt;&gt;0, K448, NOW()), "")</f>
        <v>46099.484822222221</v>
      </c>
      <c r="L448" s="168" t="s">
        <v>535</v>
      </c>
      <c r="M448" s="168">
        <v>89</v>
      </c>
      <c r="N448" s="75"/>
      <c r="Z448" s="82"/>
      <c r="AA448" s="198">
        <v>46099</v>
      </c>
      <c r="AC448" s="125" t="s">
        <v>708</v>
      </c>
    </row>
    <row r="449" spans="1:29">
      <c r="A449" s="176" t="s">
        <v>731</v>
      </c>
      <c r="B449" s="262">
        <v>46097.411469907405</v>
      </c>
      <c r="C449" s="167">
        <v>90</v>
      </c>
      <c r="D449" s="288" t="s">
        <v>732</v>
      </c>
      <c r="E449" s="165" t="str">
        <f>CONCATENATE(A449,"_",D449)</f>
        <v>MS_090326_003_V006</v>
      </c>
      <c r="F449" s="167" t="s">
        <v>473</v>
      </c>
      <c r="G449" s="218">
        <f ca="1">IF(F449&lt;&gt;"", IF(G449&lt;&gt;0, G449, NOW()), "")</f>
        <v>46097.668313657407</v>
      </c>
      <c r="H449" s="168">
        <v>90</v>
      </c>
      <c r="I449" s="220">
        <f ca="1">IF(H449&lt;&gt;"", IF(I449&lt;&gt;0, I449, NOW()), "")</f>
        <v>46098.622812268521</v>
      </c>
      <c r="J449" s="168" t="s">
        <v>472</v>
      </c>
      <c r="K449" s="220">
        <f ca="1">IF(J449&lt;&gt;"", IF(K449&lt;&gt;0, K449, NOW()), "")</f>
        <v>46099.377029976851</v>
      </c>
      <c r="L449" s="168" t="s">
        <v>535</v>
      </c>
      <c r="M449" s="168">
        <v>90</v>
      </c>
      <c r="N449" s="75" t="str">
        <f>IF(AND(M449=C449, C449&lt;&gt;""), "-", "")</f>
        <v>-</v>
      </c>
      <c r="Z449" s="82" t="str">
        <f>IF(AND(SUM(M449,N449)=C449, C449&lt;&gt;0),"DONE"," ")</f>
        <v>DONE</v>
      </c>
      <c r="AA449" s="198">
        <v>46099</v>
      </c>
      <c r="AC449" s="125" t="s">
        <v>708</v>
      </c>
    </row>
    <row r="450" spans="1:29">
      <c r="A450" s="176" t="s">
        <v>733</v>
      </c>
      <c r="B450" s="262">
        <v>46097.427442129629</v>
      </c>
      <c r="C450" s="167">
        <v>90</v>
      </c>
      <c r="D450" s="288" t="s">
        <v>734</v>
      </c>
      <c r="E450" s="165" t="str">
        <f>CONCATENATE(A450,"_",D450)</f>
        <v>MS_090326_004_V007</v>
      </c>
      <c r="F450" s="167" t="s">
        <v>470</v>
      </c>
      <c r="G450" s="220">
        <f ca="1">IF(F450&lt;&gt;"", IF(G450&lt;&gt;0, G450, NOW()), "")</f>
        <v>46098.417157291668</v>
      </c>
      <c r="H450" s="168">
        <v>90</v>
      </c>
      <c r="I450" s="220">
        <f ca="1">IF(H450&lt;&gt;"", IF(I450&lt;&gt;0, I450, NOW()), "")</f>
        <v>46098.689757754626</v>
      </c>
      <c r="J450" s="168" t="s">
        <v>472</v>
      </c>
      <c r="K450" s="220">
        <f ca="1">IF(J450&lt;&gt;"", IF(K450&lt;&gt;0, K450, NOW()), "")</f>
        <v>46099.43047777778</v>
      </c>
      <c r="L450" s="168" t="s">
        <v>535</v>
      </c>
      <c r="M450" s="168">
        <v>90</v>
      </c>
      <c r="N450" s="75" t="str">
        <f t="shared" ref="N450:N512" si="0">IF(AND(M450=C450, C450&lt;&gt;""), "-", "")</f>
        <v>-</v>
      </c>
      <c r="Z450" s="82" t="str">
        <f>IF(AND(SUM(M450,N450)=C450, C450&lt;&gt;0),"DONE"," ")</f>
        <v>DONE</v>
      </c>
      <c r="AA450" s="198">
        <v>46099</v>
      </c>
      <c r="AC450" s="125" t="s">
        <v>708</v>
      </c>
    </row>
    <row r="451" spans="1:29">
      <c r="A451" s="176" t="s">
        <v>735</v>
      </c>
      <c r="B451" s="262">
        <v>46097.439942129633</v>
      </c>
      <c r="C451" s="167">
        <v>90</v>
      </c>
      <c r="D451" s="288" t="s">
        <v>736</v>
      </c>
      <c r="E451" s="165" t="str">
        <f>CONCATENATE(A451,"_",D451)</f>
        <v>MS_100326_001_V008</v>
      </c>
      <c r="F451" s="167" t="s">
        <v>469</v>
      </c>
      <c r="G451" s="220">
        <v>46098.438194444447</v>
      </c>
      <c r="H451" s="168">
        <v>90</v>
      </c>
      <c r="I451" s="220">
        <f ca="1">IF(H451&lt;&gt;"", IF(I451&lt;&gt;0, I451, NOW()), "")</f>
        <v>46098.628561342593</v>
      </c>
      <c r="J451" s="168" t="s">
        <v>469</v>
      </c>
      <c r="K451" s="220">
        <f ca="1">IF(J451&lt;&gt;"", IF(K451&lt;&gt;0, K451, NOW()), "")</f>
        <v>46098.728607407407</v>
      </c>
      <c r="L451" s="168" t="s">
        <v>535</v>
      </c>
      <c r="M451" s="168">
        <v>89</v>
      </c>
      <c r="N451" s="75" t="str">
        <f t="shared" si="0"/>
        <v/>
      </c>
      <c r="Z451" s="82" t="str">
        <f t="shared" ref="Z451:Z512" si="1">IF(AND(SUM(M451,N451)=C451, C451&lt;&gt;0),"DONE"," ")</f>
        <v xml:space="preserve"> </v>
      </c>
      <c r="AA451" s="198">
        <v>46099</v>
      </c>
      <c r="AC451" s="125" t="s">
        <v>708</v>
      </c>
    </row>
    <row r="452" spans="1:29">
      <c r="A452" s="176" t="s">
        <v>737</v>
      </c>
      <c r="B452" s="262">
        <v>46097.548275462963</v>
      </c>
      <c r="C452" s="167">
        <v>90</v>
      </c>
      <c r="D452" s="288" t="s">
        <v>738</v>
      </c>
      <c r="E452" s="165" t="str">
        <f>CONCATENATE(A452,"_",D452)</f>
        <v>MS_100326_003_V009</v>
      </c>
      <c r="F452" s="167" t="s">
        <v>540</v>
      </c>
      <c r="G452" s="220">
        <f ca="1">IF(F452&lt;&gt;"", IF(G452&lt;&gt;0, G452, NOW()), "")</f>
        <v>46098.605571643522</v>
      </c>
      <c r="H452" s="168">
        <v>90</v>
      </c>
      <c r="I452" s="220">
        <f ca="1">IF(H452&lt;&gt;"", IF(I452&lt;&gt;0, I452, NOW()), "")</f>
        <v>46099.500951504633</v>
      </c>
      <c r="J452" s="168" t="s">
        <v>469</v>
      </c>
      <c r="K452" s="220">
        <f ca="1">IF(J452&lt;&gt;"", IF(K452&lt;&gt;0, K452, NOW()), "")</f>
        <v>46099.62562835648</v>
      </c>
      <c r="L452" s="168" t="s">
        <v>535</v>
      </c>
      <c r="M452" s="168">
        <v>88</v>
      </c>
      <c r="N452" s="75" t="str">
        <f t="shared" si="0"/>
        <v/>
      </c>
      <c r="O452" s="168"/>
      <c r="P452" s="196"/>
      <c r="Q452" s="196"/>
      <c r="R452" s="196"/>
      <c r="S452" s="165"/>
      <c r="T452" s="167"/>
      <c r="U452" s="167"/>
      <c r="V452" s="167"/>
      <c r="W452" s="167"/>
      <c r="X452" s="167"/>
      <c r="Y452" s="197"/>
      <c r="Z452" s="82" t="str">
        <f t="shared" si="1"/>
        <v xml:space="preserve"> </v>
      </c>
      <c r="AA452" s="198">
        <v>46100</v>
      </c>
      <c r="AC452" s="125" t="s">
        <v>708</v>
      </c>
    </row>
    <row r="453" spans="1:29">
      <c r="A453" s="176" t="s">
        <v>739</v>
      </c>
      <c r="B453" s="262">
        <v>46097.585775462961</v>
      </c>
      <c r="C453" s="167">
        <v>90</v>
      </c>
      <c r="D453" s="288" t="s">
        <v>740</v>
      </c>
      <c r="E453" s="165" t="str">
        <f>CONCATENATE(A453,"_",D453)</f>
        <v>MS_100326_002_V010</v>
      </c>
      <c r="F453" s="167" t="s">
        <v>473</v>
      </c>
      <c r="G453" s="219" t="s">
        <v>741</v>
      </c>
      <c r="H453" s="168">
        <v>90</v>
      </c>
      <c r="I453" s="220">
        <f ca="1">IF(H453&lt;&gt;"", IF(I453&lt;&gt;0, I453, NOW()), "")</f>
        <v>46099.586641319445</v>
      </c>
      <c r="J453" s="168" t="s">
        <v>472</v>
      </c>
      <c r="K453" s="220">
        <f ca="1">IF(J453&lt;&gt;"", IF(K453&lt;&gt;0, K453, NOW()), "")</f>
        <v>46099.716368981484</v>
      </c>
      <c r="L453" s="168" t="s">
        <v>535</v>
      </c>
      <c r="M453" s="168">
        <v>89</v>
      </c>
      <c r="N453" s="75" t="str">
        <f t="shared" si="0"/>
        <v/>
      </c>
      <c r="O453" s="168"/>
      <c r="P453" s="196"/>
      <c r="Q453" s="196"/>
      <c r="R453" s="196"/>
      <c r="S453" s="165"/>
      <c r="T453" s="167"/>
      <c r="U453" s="167"/>
      <c r="V453" s="167"/>
      <c r="W453" s="167"/>
      <c r="X453" s="167"/>
      <c r="Y453" s="197"/>
      <c r="Z453" s="82" t="str">
        <f t="shared" si="1"/>
        <v xml:space="preserve"> </v>
      </c>
      <c r="AA453" s="198">
        <v>46100</v>
      </c>
      <c r="AC453" s="125" t="s">
        <v>708</v>
      </c>
    </row>
    <row r="454" spans="1:29">
      <c r="A454" s="176" t="s">
        <v>742</v>
      </c>
      <c r="B454" s="262">
        <v>46097.602442129632</v>
      </c>
      <c r="C454" s="167">
        <v>90</v>
      </c>
      <c r="D454" s="290" t="s">
        <v>743</v>
      </c>
      <c r="E454" s="200" t="str">
        <f>CONCATENATE(A454,"_",D454)</f>
        <v>MS_060326_003_V011</v>
      </c>
      <c r="F454" s="167" t="s">
        <v>470</v>
      </c>
      <c r="G454" s="293">
        <f ca="1">IF(F454&lt;&gt;"", IF(G454&lt;&gt;0, G454, NOW()), "")</f>
        <v>46098.689905092593</v>
      </c>
      <c r="H454" s="196">
        <v>90</v>
      </c>
      <c r="I454" s="273">
        <f ca="1">IF(H454&lt;&gt;"", IF(I454&lt;&gt;0, I454, NOW()), "")</f>
        <v>46099.563179629629</v>
      </c>
      <c r="J454" s="168" t="s">
        <v>472</v>
      </c>
      <c r="K454" s="220">
        <f ca="1">IF(J454&lt;&gt;"", IF(K454&lt;&gt;0, K454, NOW()), "")</f>
        <v>46099.640525694442</v>
      </c>
      <c r="L454" s="168" t="s">
        <v>535</v>
      </c>
      <c r="M454" s="168">
        <v>88</v>
      </c>
      <c r="N454" s="75" t="str">
        <f t="shared" si="0"/>
        <v/>
      </c>
      <c r="Z454" s="82" t="str">
        <f t="shared" si="1"/>
        <v xml:space="preserve"> </v>
      </c>
      <c r="AA454" s="198">
        <v>46104</v>
      </c>
      <c r="AC454" s="125" t="s">
        <v>708</v>
      </c>
    </row>
    <row r="455" spans="1:29">
      <c r="A455" s="176" t="s">
        <v>744</v>
      </c>
      <c r="B455" s="262">
        <v>46098.877442129633</v>
      </c>
      <c r="C455" s="167">
        <v>90</v>
      </c>
      <c r="D455" s="290" t="s">
        <v>745</v>
      </c>
      <c r="E455" s="200" t="str">
        <f>CONCATENATE(A455,"_",D455)</f>
        <v>MS_100326_004_V012</v>
      </c>
      <c r="F455" s="167" t="s">
        <v>540</v>
      </c>
      <c r="G455" s="273" t="s">
        <v>746</v>
      </c>
      <c r="H455" s="196">
        <v>90</v>
      </c>
      <c r="I455" s="273" t="s">
        <v>747</v>
      </c>
      <c r="J455" s="168" t="s">
        <v>469</v>
      </c>
      <c r="K455" s="220">
        <f ca="1">IF(J455&lt;&gt;"", IF(K455&lt;&gt;0, K455, NOW()), "")</f>
        <v>46100.651695486114</v>
      </c>
      <c r="L455" s="168" t="s">
        <v>535</v>
      </c>
      <c r="M455" s="168">
        <v>89</v>
      </c>
      <c r="N455" s="75" t="str">
        <f t="shared" si="0"/>
        <v/>
      </c>
      <c r="O455" s="168"/>
      <c r="P455" s="196"/>
      <c r="Q455" s="196"/>
      <c r="R455" s="196"/>
      <c r="S455" s="165"/>
      <c r="T455" s="167"/>
      <c r="U455" s="167"/>
      <c r="V455" s="167"/>
      <c r="W455" s="167"/>
      <c r="X455" s="167"/>
      <c r="Y455" s="197"/>
      <c r="Z455" s="82" t="str">
        <f t="shared" si="1"/>
        <v xml:space="preserve"> </v>
      </c>
      <c r="AA455" s="198">
        <v>46101</v>
      </c>
    </row>
    <row r="456" spans="1:29">
      <c r="A456" s="176" t="s">
        <v>748</v>
      </c>
      <c r="B456" s="262">
        <v>46098.891331018516</v>
      </c>
      <c r="C456" s="167">
        <v>90</v>
      </c>
      <c r="D456" s="290" t="s">
        <v>749</v>
      </c>
      <c r="E456" s="200" t="str">
        <f>CONCATENATE(A456,"_",D456)</f>
        <v>MS_100326_005_V013</v>
      </c>
      <c r="F456" s="167" t="s">
        <v>470</v>
      </c>
      <c r="G456" s="273">
        <f ca="1">IF(F456&lt;&gt;"", IF(G456&lt;&gt;0, G456, NOW()), "")</f>
        <v>46099.594365277779</v>
      </c>
      <c r="H456" s="196">
        <v>90</v>
      </c>
      <c r="I456" s="273">
        <f ca="1">IF(H456&lt;&gt;"", IF(I456&lt;&gt;0, I456, NOW()), "")</f>
        <v>46099.752394560186</v>
      </c>
      <c r="J456" s="168" t="s">
        <v>472</v>
      </c>
      <c r="K456" s="220">
        <f ca="1">IF(J456&lt;&gt;"", IF(K456&lt;&gt;0, K456, NOW()), "")</f>
        <v>46100.487657175923</v>
      </c>
      <c r="L456" s="168" t="s">
        <v>535</v>
      </c>
      <c r="M456" s="168">
        <v>88</v>
      </c>
      <c r="N456" s="75" t="str">
        <f t="shared" si="0"/>
        <v/>
      </c>
      <c r="O456" s="168"/>
      <c r="P456" s="196"/>
      <c r="Q456" s="196"/>
      <c r="R456" s="196"/>
      <c r="S456" s="165"/>
      <c r="T456" s="167"/>
      <c r="U456" s="167"/>
      <c r="V456" s="167"/>
      <c r="W456" s="167"/>
      <c r="X456" s="167"/>
      <c r="Y456" s="197"/>
      <c r="Z456" s="82" t="str">
        <f t="shared" si="1"/>
        <v xml:space="preserve"> </v>
      </c>
      <c r="AA456" s="198">
        <v>46101</v>
      </c>
    </row>
    <row r="457" spans="1:29">
      <c r="A457" s="176" t="s">
        <v>750</v>
      </c>
      <c r="B457" s="262">
        <f ca="1">IF(A457&lt;&gt;"", IF(B457&lt;&gt;0, B457, NOW()), "")</f>
        <v>46098.761141898147</v>
      </c>
      <c r="C457" s="167">
        <v>90</v>
      </c>
      <c r="D457" s="290" t="s">
        <v>751</v>
      </c>
      <c r="E457" s="200" t="str">
        <f>CONCATENATE(A457,"_",D457)</f>
        <v>MS_110326_001_V014</v>
      </c>
      <c r="F457" s="167" t="s">
        <v>469</v>
      </c>
      <c r="G457" s="273">
        <f ca="1">IF(F457&lt;&gt;"", IF(G457&lt;&gt;0, G457, NOW()), "")</f>
        <v>46099.627525462965</v>
      </c>
      <c r="H457" s="196">
        <v>90</v>
      </c>
      <c r="I457" s="273">
        <f ca="1">IF(H457&lt;&gt;"", IF(I457&lt;&gt;0, I457, NOW()), "")</f>
        <v>46100.55910914352</v>
      </c>
      <c r="J457" s="168" t="s">
        <v>472</v>
      </c>
      <c r="K457" s="220">
        <f ca="1">IF(J457&lt;&gt;"", IF(K457&lt;&gt;0, K457, NOW()), "")</f>
        <v>46101.573129166667</v>
      </c>
      <c r="L457" s="168" t="s">
        <v>535</v>
      </c>
      <c r="M457" s="168">
        <v>87</v>
      </c>
      <c r="N457" s="75" t="str">
        <f t="shared" si="0"/>
        <v/>
      </c>
      <c r="O457" s="168"/>
      <c r="P457" s="196"/>
      <c r="Q457" s="196"/>
      <c r="R457" s="196"/>
      <c r="S457" s="165"/>
      <c r="T457" s="167"/>
      <c r="U457" s="167"/>
      <c r="V457" s="167"/>
      <c r="W457" s="167"/>
      <c r="X457" s="167"/>
      <c r="Y457" s="197"/>
      <c r="Z457" s="82" t="str">
        <f t="shared" si="1"/>
        <v xml:space="preserve"> </v>
      </c>
      <c r="AA457" s="198">
        <v>46101</v>
      </c>
    </row>
    <row r="458" spans="1:29">
      <c r="A458" s="176" t="s">
        <v>752</v>
      </c>
      <c r="B458" s="262">
        <f ca="1">IF(A457&lt;&gt;"", IF(B458&lt;&gt;0, B458, NOW()), "")</f>
        <v>46098.765286921298</v>
      </c>
      <c r="C458" s="167">
        <v>90</v>
      </c>
      <c r="D458" s="290" t="s">
        <v>753</v>
      </c>
      <c r="E458" s="200" t="str">
        <f>CONCATENATE(A458,"_",D458)</f>
        <v>MS_110326_002_V015</v>
      </c>
      <c r="F458" s="167" t="s">
        <v>470</v>
      </c>
      <c r="G458" s="293">
        <f ca="1">IF(F458&lt;&gt;"", IF(G458&lt;&gt;0, G458, NOW()), "")</f>
        <v>46100.356994791669</v>
      </c>
      <c r="H458" s="196">
        <v>90</v>
      </c>
      <c r="I458" s="273" t="s">
        <v>754</v>
      </c>
      <c r="J458" s="168" t="s">
        <v>472</v>
      </c>
      <c r="K458" s="219">
        <f ca="1">IF(J458&lt;&gt;"", IF(K458&lt;&gt;0, K458, NOW()), "")</f>
        <v>46101.415755671296</v>
      </c>
      <c r="L458" s="168" t="s">
        <v>535</v>
      </c>
      <c r="M458" s="168">
        <v>88</v>
      </c>
      <c r="N458" s="75" t="str">
        <f t="shared" si="0"/>
        <v/>
      </c>
      <c r="Z458" s="82" t="str">
        <f t="shared" si="1"/>
        <v xml:space="preserve"> </v>
      </c>
      <c r="AA458" s="198">
        <v>46104</v>
      </c>
    </row>
    <row r="459" spans="1:29">
      <c r="A459" s="176" t="s">
        <v>755</v>
      </c>
      <c r="B459" s="262">
        <f ca="1">IF(A459&lt;&gt;"", IF(B459&lt;&gt;0, B459, NOW()), "")</f>
        <v>46099.382612152775</v>
      </c>
      <c r="C459" s="167">
        <v>90</v>
      </c>
      <c r="D459" s="290" t="s">
        <v>756</v>
      </c>
      <c r="E459" s="200" t="str">
        <f>CONCATENATE(A459,"_",D459)</f>
        <v>MS_110326_003_V016</v>
      </c>
      <c r="F459" s="167" t="s">
        <v>540</v>
      </c>
      <c r="G459" s="293">
        <f ca="1">IF(F459&lt;&gt;"", IF(G459&lt;&gt;0, G459, NOW()), "")</f>
        <v>46100.421550925923</v>
      </c>
      <c r="H459" s="196">
        <v>90</v>
      </c>
      <c r="I459" s="273" t="s">
        <v>757</v>
      </c>
      <c r="J459" s="168" t="s">
        <v>469</v>
      </c>
      <c r="K459" s="219">
        <f ca="1">IF(J459&lt;&gt;"", IF(K459&lt;&gt;0, K459, NOW()), "")</f>
        <v>46101.545785069444</v>
      </c>
      <c r="L459" s="168" t="s">
        <v>535</v>
      </c>
      <c r="M459" s="168">
        <v>86</v>
      </c>
      <c r="N459" s="75" t="str">
        <f t="shared" si="0"/>
        <v/>
      </c>
      <c r="O459" s="168"/>
      <c r="P459" s="196"/>
      <c r="Q459" s="196"/>
      <c r="R459" s="196"/>
      <c r="S459" s="165"/>
      <c r="T459" s="167"/>
      <c r="U459" s="167"/>
      <c r="V459" s="167"/>
      <c r="W459" s="167"/>
      <c r="X459" s="167"/>
      <c r="Y459" s="197"/>
      <c r="Z459" s="82" t="str">
        <f t="shared" si="1"/>
        <v xml:space="preserve"> </v>
      </c>
      <c r="AA459" s="198">
        <v>46105</v>
      </c>
    </row>
    <row r="460" spans="1:29">
      <c r="A460" s="176" t="s">
        <v>758</v>
      </c>
      <c r="B460" s="262">
        <f ca="1">IF(A460&lt;&gt;"", IF(B460&lt;&gt;0, B460, NOW()), "")</f>
        <v>46099.382612152775</v>
      </c>
      <c r="C460" s="167">
        <v>90</v>
      </c>
      <c r="D460" s="290" t="s">
        <v>759</v>
      </c>
      <c r="E460" s="200" t="str">
        <f>CONCATENATE(A460,"_",D460)</f>
        <v>MS_120326_002_V017</v>
      </c>
      <c r="F460" s="167" t="s">
        <v>473</v>
      </c>
      <c r="G460" s="293">
        <f ca="1">IF(F460&lt;&gt;"", IF(G460&lt;&gt;0, G460, NOW()), "")</f>
        <v>46100.427202893516</v>
      </c>
      <c r="H460" s="196">
        <v>90</v>
      </c>
      <c r="I460" s="273">
        <f ca="1">IF(H460&lt;&gt;"", IF(I460&lt;&gt;0, I460, NOW()), "")</f>
        <v>46101.423996296297</v>
      </c>
      <c r="J460" s="168" t="s">
        <v>472</v>
      </c>
      <c r="K460" s="220">
        <f ca="1">IF(J460&lt;&gt;"", IF(K460&lt;&gt;0, K460, NOW()), "")</f>
        <v>46101.467618055554</v>
      </c>
      <c r="L460" s="168" t="s">
        <v>535</v>
      </c>
      <c r="M460" s="168">
        <v>88</v>
      </c>
      <c r="N460" s="75" t="str">
        <f t="shared" si="0"/>
        <v/>
      </c>
      <c r="O460" s="168"/>
      <c r="P460" s="196"/>
      <c r="Q460" s="196"/>
      <c r="R460" s="196"/>
      <c r="S460" s="165"/>
      <c r="T460" s="167"/>
      <c r="U460" s="167"/>
      <c r="V460" s="167"/>
      <c r="W460" s="167"/>
      <c r="X460" s="167"/>
      <c r="Y460" s="197"/>
      <c r="Z460" s="82" t="str">
        <f t="shared" si="1"/>
        <v xml:space="preserve"> </v>
      </c>
      <c r="AA460" s="198">
        <v>46105</v>
      </c>
    </row>
    <row r="461" spans="1:29">
      <c r="A461" s="176" t="s">
        <v>760</v>
      </c>
      <c r="B461" s="262">
        <f ca="1">IF(A461&lt;&gt;"", IF(B461&lt;&gt;0, B461, NOW()), "")</f>
        <v>46099.388194675928</v>
      </c>
      <c r="C461" s="167">
        <v>90</v>
      </c>
      <c r="D461" s="290" t="s">
        <v>761</v>
      </c>
      <c r="E461" s="200" t="str">
        <f>CONCATENATE(A461,"_",D461)</f>
        <v>MS_120326_003_V018</v>
      </c>
      <c r="F461" s="167" t="s">
        <v>469</v>
      </c>
      <c r="G461" s="293">
        <f ca="1">IF(F461&lt;&gt;"", IF(G461&lt;&gt;0, G461, NOW()), "")</f>
        <v>46100.448145949071</v>
      </c>
      <c r="H461" s="196">
        <v>90</v>
      </c>
      <c r="I461" s="273">
        <f ca="1">IF(H461&lt;&gt;"", IF(I461&lt;&gt;0, I461, NOW()), "")</f>
        <v>46101.670057407406</v>
      </c>
      <c r="J461" s="168" t="s">
        <v>472</v>
      </c>
      <c r="K461" s="219">
        <f ca="1">IF(J461&lt;&gt;"", IF(K461&lt;&gt;0, K461, NOW()), "")</f>
        <v>46104.424131250002</v>
      </c>
      <c r="L461" s="168" t="s">
        <v>535</v>
      </c>
      <c r="M461" s="168">
        <v>85</v>
      </c>
      <c r="N461" s="75" t="str">
        <f t="shared" si="0"/>
        <v/>
      </c>
      <c r="O461" s="168"/>
      <c r="P461" s="196"/>
      <c r="Q461" s="196"/>
      <c r="R461" s="196"/>
      <c r="S461" s="165"/>
      <c r="T461" s="167"/>
      <c r="U461" s="167"/>
      <c r="V461" s="167"/>
      <c r="W461" s="167"/>
      <c r="X461" s="167"/>
      <c r="Y461" s="197"/>
      <c r="Z461" s="82" t="str">
        <f t="shared" si="1"/>
        <v xml:space="preserve"> </v>
      </c>
      <c r="AA461" s="198">
        <v>46108</v>
      </c>
    </row>
    <row r="462" spans="1:29">
      <c r="A462" s="176" t="s">
        <v>762</v>
      </c>
      <c r="B462" s="262">
        <f ca="1">IF(A462&lt;&gt;"", IF(B462&lt;&gt;0, B462, NOW()), "")</f>
        <v>46100.393715625003</v>
      </c>
      <c r="C462" s="167">
        <v>90</v>
      </c>
      <c r="D462" s="290" t="s">
        <v>763</v>
      </c>
      <c r="E462" s="200" t="str">
        <f>CONCATENATE(A462,"_",D462)</f>
        <v>MS_120326_004_V019</v>
      </c>
      <c r="F462" s="167" t="s">
        <v>470</v>
      </c>
      <c r="G462" s="293">
        <f ca="1">IF(F462&lt;&gt;"", IF(G462&lt;&gt;0, G462, NOW()), "")</f>
        <v>46100.544809490741</v>
      </c>
      <c r="H462" s="196">
        <v>90</v>
      </c>
      <c r="I462" s="273">
        <f ca="1">IF(H462&lt;&gt;"", IF(I462&lt;&gt;0, I462, NOW()), "")</f>
        <v>46101.390361805556</v>
      </c>
      <c r="J462" s="168" t="s">
        <v>469</v>
      </c>
      <c r="K462" s="220">
        <f ca="1">IF(J462&lt;&gt;"", IF(K462&lt;&gt;0, K462, NOW()), "")</f>
        <v>46101.437827314818</v>
      </c>
      <c r="L462" s="168" t="s">
        <v>535</v>
      </c>
      <c r="M462" s="168">
        <v>88</v>
      </c>
      <c r="N462" s="75" t="str">
        <f t="shared" si="0"/>
        <v/>
      </c>
      <c r="O462" s="168"/>
      <c r="P462" s="196"/>
      <c r="Q462" s="196"/>
      <c r="R462" s="196"/>
      <c r="S462" s="165"/>
      <c r="T462" s="167"/>
      <c r="U462" s="167"/>
      <c r="V462" s="167"/>
      <c r="W462" s="167"/>
      <c r="X462" s="167"/>
      <c r="Y462" s="197"/>
      <c r="Z462" s="82" t="str">
        <f t="shared" si="1"/>
        <v xml:space="preserve"> </v>
      </c>
      <c r="AA462" s="198">
        <v>46108</v>
      </c>
    </row>
    <row r="463" spans="1:29">
      <c r="A463" s="176" t="s">
        <v>764</v>
      </c>
      <c r="B463" s="262">
        <f ca="1">IF(A463&lt;&gt;"", IF(B463&lt;&gt;0, B463, NOW()), "")</f>
        <v>46100.398872685182</v>
      </c>
      <c r="C463" s="167">
        <v>90</v>
      </c>
      <c r="D463" s="290" t="s">
        <v>765</v>
      </c>
      <c r="E463" s="200" t="str">
        <f>CONCATENATE(A463,"_",D463)</f>
        <v>MS_130326_001_V020</v>
      </c>
      <c r="F463" s="167" t="s">
        <v>470</v>
      </c>
      <c r="G463" s="293">
        <f ca="1">IF(F463&lt;&gt;"", IF(G463&lt;&gt;0, G463, NOW()), "")</f>
        <v>46101.410758217593</v>
      </c>
      <c r="H463" s="196">
        <v>90</v>
      </c>
      <c r="I463" s="273">
        <f ca="1">IF(H463&lt;&gt;"", IF(I463&lt;&gt;0, I463, NOW()), "")</f>
        <v>46101.656603819443</v>
      </c>
      <c r="J463" s="168" t="s">
        <v>469</v>
      </c>
      <c r="K463" s="220">
        <f ca="1">IF(J463&lt;&gt;"", IF(K463&lt;&gt;0, K463, NOW()), "")</f>
        <v>46104.653727314813</v>
      </c>
      <c r="L463" s="168" t="s">
        <v>535</v>
      </c>
      <c r="M463" s="168">
        <v>86</v>
      </c>
      <c r="N463" s="75" t="str">
        <f t="shared" si="0"/>
        <v/>
      </c>
      <c r="O463" s="168"/>
      <c r="P463" s="196"/>
      <c r="Q463" s="196"/>
      <c r="R463" s="196"/>
      <c r="S463" s="165"/>
      <c r="T463" s="167"/>
      <c r="U463" s="167"/>
      <c r="V463" s="167"/>
      <c r="W463" s="167"/>
      <c r="X463" s="167"/>
      <c r="Y463" s="197"/>
      <c r="Z463" s="82" t="str">
        <f t="shared" si="1"/>
        <v xml:space="preserve"> </v>
      </c>
      <c r="AA463" s="198">
        <v>46108</v>
      </c>
    </row>
    <row r="464" spans="1:29">
      <c r="A464" s="176" t="s">
        <v>766</v>
      </c>
      <c r="B464" s="295" t="s">
        <v>767</v>
      </c>
      <c r="C464" s="167">
        <v>90</v>
      </c>
      <c r="D464" s="290" t="s">
        <v>768</v>
      </c>
      <c r="E464" s="200" t="str">
        <f>CONCATENATE(A464,"_",D464)</f>
        <v>MS_150326_001_V021</v>
      </c>
      <c r="F464" s="167" t="s">
        <v>540</v>
      </c>
      <c r="G464" s="293">
        <f ca="1">IF(F464&lt;&gt;"", IF(G464&lt;&gt;0, G464, NOW()), "")</f>
        <v>46101.443162384261</v>
      </c>
      <c r="H464" s="196">
        <v>90</v>
      </c>
      <c r="I464" s="273">
        <f ca="1">IF(H464&lt;&gt;"", IF(I464&lt;&gt;0, I464, NOW()), "")</f>
        <v>46101.720219907409</v>
      </c>
      <c r="J464" s="168" t="s">
        <v>469</v>
      </c>
      <c r="K464" s="220">
        <f ca="1">IF(J464&lt;&gt;"", IF(K464&lt;&gt;0, K464, NOW()), "")</f>
        <v>46105.391547685183</v>
      </c>
      <c r="L464" s="168" t="s">
        <v>535</v>
      </c>
      <c r="M464" s="168">
        <v>88</v>
      </c>
      <c r="N464" s="75" t="str">
        <f t="shared" si="0"/>
        <v/>
      </c>
      <c r="Z464" s="82" t="str">
        <f t="shared" si="1"/>
        <v xml:space="preserve"> </v>
      </c>
      <c r="AA464" s="198">
        <v>46106</v>
      </c>
    </row>
    <row r="465" spans="1:27">
      <c r="A465" s="176" t="s">
        <v>769</v>
      </c>
      <c r="B465" s="295" t="s">
        <v>770</v>
      </c>
      <c r="C465" s="167">
        <v>90</v>
      </c>
      <c r="D465" s="290" t="s">
        <v>771</v>
      </c>
      <c r="E465" s="200" t="str">
        <f>CONCATENATE(A465,"_",D465)</f>
        <v>MS_130326_002_V022</v>
      </c>
      <c r="F465" s="167" t="s">
        <v>473</v>
      </c>
      <c r="G465" s="273">
        <f ca="1">IF(F465&lt;&gt;"", IF(G465&lt;&gt;0, G465, NOW()), "")</f>
        <v>46101.447209606478</v>
      </c>
      <c r="H465" s="196">
        <v>90</v>
      </c>
      <c r="I465" s="273">
        <f ca="1">IF(H465&lt;&gt;"", IF(I465&lt;&gt;0, I465, NOW()), "")</f>
        <v>46104.401323842591</v>
      </c>
      <c r="J465" s="168" t="s">
        <v>472</v>
      </c>
      <c r="K465" s="219">
        <f ca="1">IF(J465&lt;&gt;"", IF(K465&lt;&gt;0, K465, NOW()), "")</f>
        <v>46104.463479398146</v>
      </c>
      <c r="L465" s="168" t="s">
        <v>535</v>
      </c>
      <c r="M465" s="168">
        <v>84</v>
      </c>
      <c r="N465" s="75" t="str">
        <f t="shared" si="0"/>
        <v/>
      </c>
      <c r="O465" s="168"/>
      <c r="P465" s="196"/>
      <c r="Q465" s="196"/>
      <c r="R465" s="196"/>
      <c r="S465" s="165"/>
      <c r="T465" s="167"/>
      <c r="U465" s="167"/>
      <c r="V465" s="167"/>
      <c r="W465" s="167"/>
      <c r="X465" s="167"/>
      <c r="Y465" s="197"/>
      <c r="Z465" s="82" t="str">
        <f t="shared" si="1"/>
        <v xml:space="preserve"> </v>
      </c>
      <c r="AA465" s="198">
        <v>46108</v>
      </c>
    </row>
    <row r="466" spans="1:27">
      <c r="A466" s="176" t="s">
        <v>772</v>
      </c>
      <c r="B466" s="262">
        <f ca="1">IF(A466&lt;&gt;"", IF(B466&lt;&gt;0, B466, NOW()), "")</f>
        <v>46101.45811388889</v>
      </c>
      <c r="C466" s="167">
        <v>90</v>
      </c>
      <c r="D466" s="290" t="s">
        <v>773</v>
      </c>
      <c r="E466" s="200" t="str">
        <f>CONCATENATE(A466,"_",D466)</f>
        <v>MS_150326_002_V023</v>
      </c>
      <c r="F466" s="167" t="s">
        <v>470</v>
      </c>
      <c r="G466" s="273">
        <f ca="1">IF(F466&lt;&gt;"", IF(G466&lt;&gt;0, G466, NOW()), "")</f>
        <v>46101.656603819443</v>
      </c>
      <c r="H466" s="196">
        <v>90</v>
      </c>
      <c r="I466" s="273" t="s">
        <v>774</v>
      </c>
      <c r="J466" s="168" t="s">
        <v>472</v>
      </c>
      <c r="K466" s="220">
        <f ca="1">IF(J466&lt;&gt;"", IF(K466&lt;&gt;0, K466, NOW()), "")</f>
        <v>46104.625045370369</v>
      </c>
      <c r="L466" s="168" t="s">
        <v>535</v>
      </c>
      <c r="M466" s="168">
        <v>87</v>
      </c>
      <c r="N466" s="75" t="str">
        <f t="shared" si="0"/>
        <v/>
      </c>
      <c r="Z466" s="82" t="str">
        <f t="shared" si="1"/>
        <v xml:space="preserve"> </v>
      </c>
      <c r="AA466" s="198">
        <v>46106</v>
      </c>
    </row>
    <row r="467" spans="1:27">
      <c r="A467" s="176" t="s">
        <v>775</v>
      </c>
      <c r="B467" s="262">
        <f ca="1">IF(A467&lt;&gt;"", IF(B467&lt;&gt;0, B467, NOW()), "")</f>
        <v>46101.474575578701</v>
      </c>
      <c r="C467" s="167">
        <v>90</v>
      </c>
      <c r="D467" s="290" t="s">
        <v>776</v>
      </c>
      <c r="E467" s="200" t="str">
        <f>CONCATENATE(A467,"_",D467)</f>
        <v>MS_150326_003_V024</v>
      </c>
      <c r="F467" s="167" t="s">
        <v>540</v>
      </c>
      <c r="G467" s="294" t="s">
        <v>777</v>
      </c>
      <c r="H467" s="196">
        <v>90</v>
      </c>
      <c r="I467" s="273">
        <f ca="1">IF(H467&lt;&gt;"", IF(I467&lt;&gt;0, I467, NOW()), "")</f>
        <v>46104.651364699072</v>
      </c>
      <c r="J467" s="168" t="s">
        <v>469</v>
      </c>
      <c r="K467" s="220">
        <f ca="1">IF(J467&lt;&gt;"", IF(K467&lt;&gt;0, K467, NOW()), "")</f>
        <v>46105.436077777777</v>
      </c>
      <c r="L467" s="168" t="s">
        <v>535</v>
      </c>
      <c r="M467" s="168">
        <v>90</v>
      </c>
      <c r="N467" s="75" t="str">
        <f t="shared" si="0"/>
        <v>-</v>
      </c>
      <c r="O467" s="168"/>
      <c r="P467" s="196"/>
      <c r="Q467" s="196"/>
      <c r="R467" s="196"/>
      <c r="S467" s="165"/>
      <c r="T467" s="167"/>
      <c r="U467" s="167"/>
      <c r="V467" s="167"/>
      <c r="W467" s="167"/>
      <c r="X467" s="167"/>
      <c r="Y467" s="197"/>
      <c r="Z467" s="82" t="str">
        <f t="shared" si="1"/>
        <v>DONE</v>
      </c>
      <c r="AA467" s="198">
        <v>46105</v>
      </c>
    </row>
    <row r="468" spans="1:27">
      <c r="A468" s="176" t="s">
        <v>778</v>
      </c>
      <c r="B468" s="262">
        <f ca="1">IF(A468&lt;&gt;"", IF(B468&lt;&gt;0, B468, NOW()), "")</f>
        <v>46101.489885185183</v>
      </c>
      <c r="C468" s="167">
        <v>90</v>
      </c>
      <c r="D468" s="290" t="s">
        <v>779</v>
      </c>
      <c r="E468" s="200" t="str">
        <f>CONCATENATE(A468,"_",D468)</f>
        <v>MS_160326_001_V025</v>
      </c>
      <c r="F468" s="167" t="s">
        <v>473</v>
      </c>
      <c r="G468" s="294" t="s">
        <v>780</v>
      </c>
      <c r="H468" s="196">
        <v>90</v>
      </c>
      <c r="I468" s="273" t="s">
        <v>781</v>
      </c>
      <c r="J468" s="168" t="s">
        <v>472</v>
      </c>
      <c r="K468" s="220">
        <f ca="1">IF(J468&lt;&gt;"", IF(K468&lt;&gt;0, K468, NOW()), "")</f>
        <v>46105.610317245373</v>
      </c>
      <c r="L468" s="168" t="s">
        <v>535</v>
      </c>
      <c r="M468" s="168">
        <v>88</v>
      </c>
      <c r="N468" s="75" t="str">
        <f t="shared" si="0"/>
        <v/>
      </c>
      <c r="O468" s="168"/>
      <c r="P468" s="196"/>
      <c r="Q468" s="196"/>
      <c r="R468" s="196"/>
      <c r="S468" s="165"/>
      <c r="T468" s="167"/>
      <c r="U468" s="167"/>
      <c r="V468" s="167"/>
      <c r="W468" s="167"/>
      <c r="X468" s="167"/>
      <c r="Y468" s="197"/>
      <c r="Z468" s="82" t="str">
        <f t="shared" si="1"/>
        <v xml:space="preserve"> </v>
      </c>
      <c r="AA468" s="198">
        <v>46105</v>
      </c>
    </row>
    <row r="469" spans="1:27">
      <c r="A469" s="176" t="s">
        <v>782</v>
      </c>
      <c r="B469" s="295" t="s">
        <v>783</v>
      </c>
      <c r="C469" s="167">
        <v>90</v>
      </c>
      <c r="D469" s="290" t="s">
        <v>784</v>
      </c>
      <c r="E469" s="200" t="str">
        <f>CONCATENATE(A469,"_",D469)</f>
        <v>MS_150326_004_V026</v>
      </c>
      <c r="F469" s="167" t="s">
        <v>470</v>
      </c>
      <c r="G469" s="293">
        <f ca="1">IF(F469&lt;&gt;"", IF(G469&lt;&gt;0, G469, NOW()), "")</f>
        <v>46104.605715740741</v>
      </c>
      <c r="H469" s="196">
        <v>90</v>
      </c>
      <c r="I469" s="273">
        <f ca="1">IF(H469&lt;&gt;"", IF(I469&lt;&gt;0, I469, NOW()), "")</f>
        <v>46105.402395023149</v>
      </c>
      <c r="J469" s="168" t="s">
        <v>469</v>
      </c>
      <c r="K469" s="220">
        <f ca="1">IF(J469&lt;&gt;"", IF(K469&lt;&gt;0, K469, NOW()), "")</f>
        <v>46105.579611805559</v>
      </c>
      <c r="L469" s="168" t="s">
        <v>535</v>
      </c>
      <c r="M469" s="168">
        <v>87</v>
      </c>
      <c r="N469" s="75" t="str">
        <f t="shared" si="0"/>
        <v/>
      </c>
      <c r="Z469" s="82" t="str">
        <f t="shared" si="1"/>
        <v xml:space="preserve"> </v>
      </c>
      <c r="AA469" s="198">
        <v>46106</v>
      </c>
    </row>
    <row r="470" spans="1:27">
      <c r="A470" s="176" t="s">
        <v>785</v>
      </c>
      <c r="B470" s="262" t="s">
        <v>786</v>
      </c>
      <c r="C470" s="167">
        <v>90</v>
      </c>
      <c r="D470" s="290" t="s">
        <v>787</v>
      </c>
      <c r="E470" s="200" t="str">
        <f>CONCATENATE(A470,"_",D470)</f>
        <v>MS_160326_002_V027</v>
      </c>
      <c r="F470" s="167" t="s">
        <v>540</v>
      </c>
      <c r="G470" s="273">
        <f ca="1">IF(F470&lt;&gt;"", IF(G470&lt;&gt;0, G470, NOW()), "")</f>
        <v>46104.659323726853</v>
      </c>
      <c r="H470" s="196">
        <v>90</v>
      </c>
      <c r="I470" s="273">
        <f ca="1">IF(H470&lt;&gt;"", IF(I470&lt;&gt;0, I470, NOW()), "")</f>
        <v>46105.606136921298</v>
      </c>
      <c r="J470" s="168" t="s">
        <v>469</v>
      </c>
      <c r="K470" s="220">
        <f ca="1">IF(J470&lt;&gt;"", IF(K470&lt;&gt;0, K470, NOW()), "")</f>
        <v>46105.681697222222</v>
      </c>
      <c r="L470" s="168" t="s">
        <v>535</v>
      </c>
      <c r="M470" s="168">
        <v>84</v>
      </c>
      <c r="N470" s="75" t="str">
        <f t="shared" si="0"/>
        <v/>
      </c>
      <c r="Z470" s="82" t="str">
        <f t="shared" si="1"/>
        <v xml:space="preserve"> </v>
      </c>
      <c r="AA470" s="198">
        <v>46112</v>
      </c>
    </row>
    <row r="471" spans="1:27">
      <c r="A471" s="176" t="s">
        <v>788</v>
      </c>
      <c r="B471" s="262">
        <f ca="1">IF(A471&lt;&gt;"", IF(B471&lt;&gt;0, B471, NOW()), "")</f>
        <v>46104.496699421295</v>
      </c>
      <c r="C471" s="167">
        <v>90</v>
      </c>
      <c r="D471" s="290" t="s">
        <v>789</v>
      </c>
      <c r="E471" s="200" t="str">
        <f>CONCATENATE(A471,"_",D471)</f>
        <v>MS_160326_003_V028</v>
      </c>
      <c r="F471" s="167" t="s">
        <v>473</v>
      </c>
      <c r="G471" s="273">
        <v>46105.364583333336</v>
      </c>
      <c r="H471" s="196">
        <v>90</v>
      </c>
      <c r="I471" s="273">
        <f ca="1">IF(H471&lt;&gt;"", IF(I471&lt;&gt;0, I471, NOW()), "")</f>
        <v>46105.624665856485</v>
      </c>
      <c r="J471" s="168" t="s">
        <v>472</v>
      </c>
      <c r="K471" s="220">
        <f ca="1">IF(J471&lt;&gt;"", IF(K471&lt;&gt;0, K471, NOW()), "")</f>
        <v>46105.667801504627</v>
      </c>
      <c r="L471" s="168" t="s">
        <v>535</v>
      </c>
      <c r="M471" s="168">
        <v>88</v>
      </c>
      <c r="N471" s="75" t="str">
        <f t="shared" si="0"/>
        <v/>
      </c>
      <c r="Z471" s="82" t="str">
        <f t="shared" si="1"/>
        <v xml:space="preserve"> </v>
      </c>
      <c r="AA471" s="198">
        <v>46106</v>
      </c>
    </row>
    <row r="472" spans="1:27">
      <c r="A472" s="95" t="s">
        <v>790</v>
      </c>
      <c r="B472" s="261" t="s">
        <v>791</v>
      </c>
      <c r="C472" s="28">
        <v>90</v>
      </c>
      <c r="D472" s="291" t="s">
        <v>792</v>
      </c>
      <c r="E472" s="268" t="str">
        <f>CONCATENATE(A472,"_",D472)</f>
        <v>MS_160326_004_V029</v>
      </c>
      <c r="F472" s="28" t="s">
        <v>470</v>
      </c>
      <c r="G472" s="270">
        <f ca="1">IF(F472&lt;&gt;"", IF(G472&lt;&gt;0, G472, NOW()), "")</f>
        <v>46105.402508680556</v>
      </c>
      <c r="H472" s="29">
        <v>90</v>
      </c>
      <c r="I472" s="271" t="s">
        <v>793</v>
      </c>
      <c r="J472" s="30" t="s">
        <v>469</v>
      </c>
      <c r="K472" s="214">
        <f ca="1">IF(J472&lt;&gt;"", IF(K472&lt;&gt;0, K472, NOW()), "")</f>
        <v>46106.372929398145</v>
      </c>
      <c r="L472" s="30" t="s">
        <v>535</v>
      </c>
      <c r="M472" s="30">
        <v>90</v>
      </c>
      <c r="N472" s="75" t="str">
        <f t="shared" si="0"/>
        <v>-</v>
      </c>
      <c r="Z472" s="82" t="str">
        <f t="shared" si="1"/>
        <v>DONE</v>
      </c>
      <c r="AA472" s="198">
        <v>46112</v>
      </c>
    </row>
    <row r="473" spans="1:27">
      <c r="A473" s="95" t="s">
        <v>794</v>
      </c>
      <c r="B473" s="261">
        <f ca="1">IF(A473&lt;&gt;"", IF(B473&lt;&gt;0, B473, NOW()), "")</f>
        <v>46104.553763310185</v>
      </c>
      <c r="C473" s="28">
        <v>90</v>
      </c>
      <c r="D473" s="291" t="s">
        <v>795</v>
      </c>
      <c r="E473" s="268" t="str">
        <f>CONCATENATE(A473,"_",D473)</f>
        <v>MS_170326_001_V030</v>
      </c>
      <c r="F473" s="28" t="s">
        <v>469</v>
      </c>
      <c r="G473" s="271">
        <f ca="1">IF(F473&lt;&gt;"", IF(G473&lt;&gt;0, G473, NOW()), "")</f>
        <v>46105.580350578704</v>
      </c>
      <c r="H473" s="29">
        <v>90</v>
      </c>
      <c r="I473" s="271">
        <f ca="1">IF(H473&lt;&gt;"", IF(I473&lt;&gt;0, I473, NOW()), "")</f>
        <v>46107.614216898146</v>
      </c>
      <c r="J473" s="30" t="s">
        <v>472</v>
      </c>
      <c r="K473" s="215">
        <f ca="1">IF(J473&lt;&gt;"", IF(K473&lt;&gt;0, K473, NOW()), "")</f>
        <v>46107.694358217595</v>
      </c>
      <c r="L473" s="30" t="s">
        <v>535</v>
      </c>
      <c r="M473" s="30">
        <v>90</v>
      </c>
      <c r="N473" s="75" t="str">
        <f t="shared" si="0"/>
        <v>-</v>
      </c>
      <c r="Z473" s="82" t="str">
        <f t="shared" si="1"/>
        <v>DONE</v>
      </c>
      <c r="AA473" s="198">
        <v>46112</v>
      </c>
    </row>
    <row r="474" spans="1:27">
      <c r="A474" s="176" t="s">
        <v>796</v>
      </c>
      <c r="B474" s="262">
        <f ca="1">IF(A474&lt;&gt;"", IF(B474&lt;&gt;0, B474, NOW()), "")</f>
        <v>46104.559089467592</v>
      </c>
      <c r="C474" s="167">
        <v>90</v>
      </c>
      <c r="D474" s="290" t="s">
        <v>797</v>
      </c>
      <c r="E474" s="200" t="str">
        <f>CONCATENATE(A474,"_",D474)</f>
        <v>MS_120326_001_V031</v>
      </c>
      <c r="F474" s="167" t="s">
        <v>472</v>
      </c>
      <c r="G474" s="273">
        <f ca="1">IF(F474&lt;&gt;"", IF(G474&lt;&gt;0, G474, NOW()), "")</f>
        <v>46105.613102430558</v>
      </c>
      <c r="H474" s="196">
        <v>90</v>
      </c>
      <c r="I474" s="273">
        <v>46106.579976851855</v>
      </c>
      <c r="J474" s="168" t="s">
        <v>469</v>
      </c>
      <c r="K474" s="220">
        <f ca="1">IF(J474&lt;&gt;"", IF(K474&lt;&gt;0, K474, NOW()), "")</f>
        <v>46106.658601504627</v>
      </c>
      <c r="L474" s="168" t="s">
        <v>535</v>
      </c>
      <c r="M474" s="168">
        <v>88</v>
      </c>
      <c r="N474" s="75" t="str">
        <f t="shared" si="0"/>
        <v/>
      </c>
      <c r="Z474" s="82" t="str">
        <f t="shared" si="1"/>
        <v xml:space="preserve"> </v>
      </c>
      <c r="AA474" s="198">
        <v>46106</v>
      </c>
    </row>
    <row r="475" spans="1:27">
      <c r="A475" s="176" t="s">
        <v>798</v>
      </c>
      <c r="B475" s="262">
        <f ca="1">IF(A475&lt;&gt;"", IF(B475&lt;&gt;0, B475, NOW()), "")</f>
        <v>46104.565298611109</v>
      </c>
      <c r="C475" s="167">
        <v>90</v>
      </c>
      <c r="D475" s="290" t="s">
        <v>799</v>
      </c>
      <c r="E475" s="200" t="str">
        <f>CONCATENATE(A475,"_",D475)</f>
        <v>MS_170326_002_V032</v>
      </c>
      <c r="F475" s="167" t="s">
        <v>540</v>
      </c>
      <c r="G475" s="273">
        <f ca="1">IF(F475&lt;&gt;"", IF(G475&lt;&gt;0, G475, NOW()), "")</f>
        <v>46105.620061689813</v>
      </c>
      <c r="H475" s="196">
        <v>90</v>
      </c>
      <c r="I475" s="273">
        <f ca="1">IF(H475&lt;&gt;"", IF(I475&lt;&gt;0, I475, NOW()), "")</f>
        <v>46106.57372291667</v>
      </c>
      <c r="J475" s="168" t="s">
        <v>469</v>
      </c>
      <c r="K475" s="220">
        <f ca="1">IF(J475&lt;&gt;"", IF(K475&lt;&gt;0, K475, NOW()), "")</f>
        <v>46106.708674421294</v>
      </c>
      <c r="L475" s="168" t="s">
        <v>535</v>
      </c>
      <c r="M475" s="168">
        <v>85</v>
      </c>
      <c r="N475" s="75" t="str">
        <f t="shared" si="0"/>
        <v/>
      </c>
      <c r="Z475" s="82" t="str">
        <f t="shared" si="1"/>
        <v xml:space="preserve"> </v>
      </c>
      <c r="AA475" s="198">
        <v>46112</v>
      </c>
    </row>
    <row r="476" spans="1:27">
      <c r="A476" s="176" t="s">
        <v>800</v>
      </c>
      <c r="B476" s="262">
        <f ca="1">IF(A476&lt;&gt;"", IF(B476&lt;&gt;0, B476, NOW()), "")</f>
        <v>46104.573064236109</v>
      </c>
      <c r="C476" s="167">
        <v>90</v>
      </c>
      <c r="D476" s="290" t="s">
        <v>801</v>
      </c>
      <c r="E476" s="200" t="str">
        <f>CONCATENATE(A476,"_",D476)</f>
        <v>MS_170326_003_V033</v>
      </c>
      <c r="F476" s="167" t="s">
        <v>470</v>
      </c>
      <c r="G476" s="293">
        <f ca="1">IF(F476&lt;&gt;"", IF(G476&lt;&gt;0, G476, NOW()), "")</f>
        <v>46105.623724884259</v>
      </c>
      <c r="H476" s="196">
        <v>90</v>
      </c>
      <c r="I476" s="273" t="s">
        <v>802</v>
      </c>
      <c r="J476" s="168" t="s">
        <v>472</v>
      </c>
      <c r="K476" s="220">
        <f ca="1">IF(J476&lt;&gt;"", IF(K476&lt;&gt;0, K476, NOW()), "")</f>
        <v>46106.697620833336</v>
      </c>
      <c r="L476" s="168" t="s">
        <v>535</v>
      </c>
      <c r="M476" s="168">
        <v>89</v>
      </c>
      <c r="N476" s="75" t="str">
        <f t="shared" si="0"/>
        <v/>
      </c>
      <c r="Z476" s="82" t="str">
        <f t="shared" si="1"/>
        <v xml:space="preserve"> </v>
      </c>
      <c r="AA476" s="198">
        <v>46112</v>
      </c>
    </row>
    <row r="477" spans="1:27">
      <c r="A477" s="176" t="s">
        <v>803</v>
      </c>
      <c r="B477" s="262">
        <f ca="1">IF(A477&lt;&gt;"", IF(B477&lt;&gt;0, B477, NOW()), "")</f>
        <v>46104.580354166668</v>
      </c>
      <c r="C477" s="167">
        <v>90</v>
      </c>
      <c r="D477" s="290" t="s">
        <v>804</v>
      </c>
      <c r="E477" s="200" t="str">
        <f>CONCATENATE(A477,"_",D477)</f>
        <v>MS_170326_004_V034</v>
      </c>
      <c r="F477" s="167" t="s">
        <v>473</v>
      </c>
      <c r="G477" s="273">
        <v>46105.631944444445</v>
      </c>
      <c r="H477" s="196">
        <v>90</v>
      </c>
      <c r="I477" s="273" t="s">
        <v>805</v>
      </c>
      <c r="J477" s="168" t="s">
        <v>472</v>
      </c>
      <c r="K477" s="220">
        <f ca="1">IF(J477&lt;&gt;"", IF(K477&lt;&gt;0, K477, NOW()), "")</f>
        <v>46106.636053587965</v>
      </c>
      <c r="L477" s="168" t="s">
        <v>535</v>
      </c>
      <c r="M477" s="168">
        <v>87</v>
      </c>
      <c r="N477" s="75" t="str">
        <f t="shared" si="0"/>
        <v/>
      </c>
      <c r="Z477" s="82" t="str">
        <f t="shared" si="1"/>
        <v xml:space="preserve"> </v>
      </c>
      <c r="AA477" s="198">
        <v>46112</v>
      </c>
    </row>
    <row r="478" spans="1:27">
      <c r="A478" s="176" t="s">
        <v>806</v>
      </c>
      <c r="B478" s="262">
        <f ca="1">IF(A478&lt;&gt;"", IF(B478&lt;&gt;0, B478, NOW()), "")</f>
        <v>46104.589423726851</v>
      </c>
      <c r="C478" s="167">
        <v>90</v>
      </c>
      <c r="D478" s="290" t="s">
        <v>807</v>
      </c>
      <c r="E478" s="200" t="str">
        <f>CONCATENATE(A478,"_",D478)</f>
        <v>MS_180326_001_V035</v>
      </c>
      <c r="F478" s="167" t="s">
        <v>470</v>
      </c>
      <c r="G478" s="293">
        <f ca="1">IF(F478&lt;&gt;"", IF(G478&lt;&gt;0, G478, NOW()), "")</f>
        <v>46106.462294791665</v>
      </c>
      <c r="H478" s="196">
        <v>90</v>
      </c>
      <c r="I478" s="273" t="s">
        <v>808</v>
      </c>
      <c r="J478" s="168" t="s">
        <v>472</v>
      </c>
      <c r="K478" s="220">
        <f ca="1">IF(J478&lt;&gt;"", IF(K478&lt;&gt;0, K478, NOW()), "")</f>
        <v>46107.407992939814</v>
      </c>
      <c r="L478" s="168" t="s">
        <v>535</v>
      </c>
      <c r="M478" s="168">
        <v>89</v>
      </c>
      <c r="N478" s="75" t="str">
        <f t="shared" si="0"/>
        <v/>
      </c>
      <c r="Z478" s="82" t="str">
        <f t="shared" si="1"/>
        <v xml:space="preserve"> </v>
      </c>
      <c r="AA478" s="198">
        <v>46112</v>
      </c>
    </row>
    <row r="479" spans="1:27">
      <c r="A479" s="176" t="s">
        <v>809</v>
      </c>
      <c r="B479" s="262">
        <f ca="1">IF(A479&lt;&gt;"", IF(B479&lt;&gt;0, B479, NOW()), "")</f>
        <v>46104.597907754629</v>
      </c>
      <c r="C479" s="167">
        <v>90</v>
      </c>
      <c r="D479" s="290" t="s">
        <v>810</v>
      </c>
      <c r="E479" s="200" t="str">
        <f>CONCATENATE(A479,"_",D479)</f>
        <v>MS_180326_002_V036</v>
      </c>
      <c r="F479" s="167" t="s">
        <v>473</v>
      </c>
      <c r="G479" s="273">
        <v>46106.489675925928</v>
      </c>
      <c r="H479" s="196">
        <v>90</v>
      </c>
      <c r="I479" s="273">
        <f ca="1">IF(H479&lt;&gt;"", IF(I479&lt;&gt;0, I479, NOW()), "")</f>
        <v>46107.425657291664</v>
      </c>
      <c r="J479" s="168" t="s">
        <v>472</v>
      </c>
      <c r="K479" s="219">
        <f ca="1">IF(J479&lt;&gt;"", IF(K479&lt;&gt;0, K479, NOW()), "")</f>
        <v>46107.478641435184</v>
      </c>
      <c r="L479" s="168" t="s">
        <v>535</v>
      </c>
      <c r="M479" s="168">
        <v>86</v>
      </c>
      <c r="N479" s="75" t="str">
        <f t="shared" si="0"/>
        <v/>
      </c>
      <c r="Z479" s="82" t="str">
        <f t="shared" si="1"/>
        <v xml:space="preserve"> </v>
      </c>
      <c r="AA479" s="198">
        <v>46112</v>
      </c>
    </row>
    <row r="480" spans="1:27">
      <c r="A480" s="176" t="s">
        <v>811</v>
      </c>
      <c r="B480" s="262">
        <f ca="1">IF(A480&lt;&gt;"", IF(B480&lt;&gt;0, B480, NOW()), "")</f>
        <v>46105.477103935184</v>
      </c>
      <c r="C480" s="167">
        <v>90</v>
      </c>
      <c r="D480" s="290" t="s">
        <v>812</v>
      </c>
      <c r="E480" s="200" t="str">
        <f>CONCATENATE(A480,"_",D480)</f>
        <v>MS_190326_001_V037</v>
      </c>
      <c r="F480" s="167" t="s">
        <v>540</v>
      </c>
      <c r="G480" s="293">
        <f ca="1">IF(F480&lt;&gt;"", IF(G480&lt;&gt;0, G480, NOW()), "")</f>
        <v>46106.583091087959</v>
      </c>
      <c r="H480" s="196">
        <v>90</v>
      </c>
      <c r="I480" s="273">
        <f ca="1">IF(H480&lt;&gt;"", IF(I480&lt;&gt;0, I480, NOW()), "")</f>
        <v>46107.451653472221</v>
      </c>
      <c r="J480" s="168" t="s">
        <v>469</v>
      </c>
      <c r="K480" s="219">
        <f ca="1">IF(J480&lt;&gt;"", IF(K480&lt;&gt;0, K480, NOW()), "")</f>
        <v>46107.719535185184</v>
      </c>
      <c r="L480" s="168" t="s">
        <v>535</v>
      </c>
      <c r="M480" s="168">
        <v>84</v>
      </c>
      <c r="N480" s="75" t="str">
        <f t="shared" si="0"/>
        <v/>
      </c>
      <c r="Z480" s="82" t="str">
        <f t="shared" si="1"/>
        <v xml:space="preserve"> </v>
      </c>
      <c r="AA480" s="198">
        <v>46112</v>
      </c>
    </row>
    <row r="481" spans="1:27">
      <c r="A481" s="176" t="s">
        <v>813</v>
      </c>
      <c r="B481" s="262">
        <f ca="1">IF(A481&lt;&gt;"", IF(B481&lt;&gt;0, B481, NOW()), "")</f>
        <v>46105.487760069445</v>
      </c>
      <c r="C481" s="167">
        <v>90</v>
      </c>
      <c r="D481" s="290" t="s">
        <v>814</v>
      </c>
      <c r="E481" s="200" t="str">
        <f>CONCATENATE(A481,"_",D481)</f>
        <v>MS_190326_002_V038</v>
      </c>
      <c r="F481" s="167" t="s">
        <v>470</v>
      </c>
      <c r="G481" s="273">
        <f ca="1">IF(F481&lt;&gt;"", IF(G481&lt;&gt;0, G481, NOW()), "")</f>
        <v>46107.371975925926</v>
      </c>
      <c r="H481" s="196">
        <v>90</v>
      </c>
      <c r="I481" s="273">
        <f ca="1">IF(H481&lt;&gt;"", IF(I481&lt;&gt;0, I481, NOW()), "")</f>
        <v>46107.574698611112</v>
      </c>
      <c r="J481" s="168" t="s">
        <v>472</v>
      </c>
      <c r="K481" s="219">
        <f ca="1">IF(J481&lt;&gt;"", IF(K481&lt;&gt;0, K481, NOW()), "")</f>
        <v>46107.651822916669</v>
      </c>
      <c r="L481" s="168" t="s">
        <v>535</v>
      </c>
      <c r="M481" s="168">
        <v>89</v>
      </c>
      <c r="N481" s="75" t="str">
        <f t="shared" si="0"/>
        <v/>
      </c>
      <c r="Z481" s="82" t="str">
        <f t="shared" si="1"/>
        <v xml:space="preserve"> </v>
      </c>
      <c r="AA481" s="198">
        <v>46112</v>
      </c>
    </row>
    <row r="482" spans="1:27">
      <c r="A482" s="176" t="s">
        <v>815</v>
      </c>
      <c r="B482" s="262">
        <f ca="1">IF(A482&lt;&gt;"", IF(B482&lt;&gt;0, B482, NOW()), "")</f>
        <v>46105.49610138889</v>
      </c>
      <c r="C482" s="167">
        <v>90</v>
      </c>
      <c r="D482" s="290" t="s">
        <v>816</v>
      </c>
      <c r="E482" s="200" t="str">
        <f>CONCATENATE(A482,"_",D482)</f>
        <v>MS_190326_003_V039</v>
      </c>
      <c r="F482" s="167" t="s">
        <v>472</v>
      </c>
      <c r="G482" s="273">
        <f ca="1">IF(F482&lt;&gt;"", IF(G482&lt;&gt;0, G482, NOW()), "")</f>
        <v>46107.409387384258</v>
      </c>
      <c r="H482" s="196">
        <v>90</v>
      </c>
      <c r="I482" s="273">
        <f ca="1">IF(H482&lt;&gt;"", IF(I482&lt;&gt;0, I482, NOW()), "")</f>
        <v>46111.581095486108</v>
      </c>
      <c r="J482" s="168" t="s">
        <v>469</v>
      </c>
      <c r="K482" s="220">
        <f ca="1">IF(J482&lt;&gt;"", IF(K482&lt;&gt;0, K482, NOW()), "")</f>
        <v>46111.680022222223</v>
      </c>
      <c r="L482" s="168" t="s">
        <v>535</v>
      </c>
      <c r="M482" s="168">
        <v>85</v>
      </c>
      <c r="N482" s="75" t="str">
        <f t="shared" si="0"/>
        <v/>
      </c>
      <c r="Z482" s="82" t="str">
        <f t="shared" si="1"/>
        <v xml:space="preserve"> </v>
      </c>
      <c r="AA482" s="198">
        <v>46112</v>
      </c>
    </row>
    <row r="483" spans="1:27">
      <c r="A483" s="95" t="s">
        <v>817</v>
      </c>
      <c r="B483" s="261">
        <f ca="1">IF(A483&lt;&gt;"", IF(B483&lt;&gt;0, B483, NOW()), "")</f>
        <v>46106.397128819444</v>
      </c>
      <c r="C483" s="28">
        <v>90</v>
      </c>
      <c r="D483" s="291" t="s">
        <v>818</v>
      </c>
      <c r="E483" s="268" t="str">
        <f>CONCATENATE(A483,"_",D483)</f>
        <v>MS_190326_004_V040</v>
      </c>
      <c r="F483" s="28" t="s">
        <v>473</v>
      </c>
      <c r="G483" s="271">
        <f ca="1">IF(F483&lt;&gt;"", IF(G483&lt;&gt;0, G483, NOW()), "")</f>
        <v>46107.435838888887</v>
      </c>
      <c r="H483" s="29">
        <v>90</v>
      </c>
      <c r="I483" s="271">
        <v>46107.729166666664</v>
      </c>
      <c r="J483" s="30" t="s">
        <v>472</v>
      </c>
      <c r="K483" s="214">
        <f ca="1">IF(J483&lt;&gt;"", IF(K483&lt;&gt;0, K483, NOW()), "")</f>
        <v>46108.456856944445</v>
      </c>
      <c r="L483" s="30" t="s">
        <v>535</v>
      </c>
      <c r="M483" s="30">
        <v>90</v>
      </c>
      <c r="N483" s="75" t="str">
        <f t="shared" si="0"/>
        <v>-</v>
      </c>
      <c r="Z483" s="82" t="str">
        <f t="shared" si="1"/>
        <v>DONE</v>
      </c>
      <c r="AA483" s="198">
        <v>46115</v>
      </c>
    </row>
    <row r="484" spans="1:27">
      <c r="A484" s="176" t="s">
        <v>819</v>
      </c>
      <c r="B484" s="262">
        <f ca="1">IF(A484&lt;&gt;"", IF(B484&lt;&gt;0, B484, NOW()), "")</f>
        <v>46107.385101736108</v>
      </c>
      <c r="C484" s="167">
        <v>90</v>
      </c>
      <c r="D484" s="290" t="s">
        <v>820</v>
      </c>
      <c r="E484" s="200" t="str">
        <f>CONCATENATE(A484,"_",D484)</f>
        <v>MS_200326_001_V041</v>
      </c>
      <c r="F484" s="167" t="s">
        <v>540</v>
      </c>
      <c r="G484" s="293">
        <f ca="1">IF(F484&lt;&gt;"", IF(G484&lt;&gt;0, G484, NOW()), "")</f>
        <v>46107.455220949072</v>
      </c>
      <c r="H484" s="196">
        <v>90</v>
      </c>
      <c r="I484" s="273">
        <f ca="1">IF(H484&lt;&gt;"", IF(I484&lt;&gt;0, I484, NOW()), "")</f>
        <v>46108.396581018518</v>
      </c>
      <c r="J484" s="168" t="s">
        <v>469</v>
      </c>
      <c r="K484" s="219">
        <f ca="1">IF(J484&lt;&gt;"", IF(K484&lt;&gt;0, K484, NOW()), "")</f>
        <v>46108.584768749999</v>
      </c>
      <c r="L484" s="168" t="s">
        <v>535</v>
      </c>
      <c r="M484" s="168">
        <v>88</v>
      </c>
      <c r="N484" s="75" t="str">
        <f t="shared" si="0"/>
        <v/>
      </c>
      <c r="Z484" s="82" t="str">
        <f t="shared" si="1"/>
        <v xml:space="preserve"> </v>
      </c>
      <c r="AA484" s="198">
        <v>46115</v>
      </c>
    </row>
    <row r="485" spans="1:27">
      <c r="A485" s="176" t="s">
        <v>821</v>
      </c>
      <c r="B485" s="262">
        <f ca="1">IF(A485&lt;&gt;"", IF(B485&lt;&gt;0, B485, NOW()), "")</f>
        <v>46107.386756828702</v>
      </c>
      <c r="C485" s="167">
        <v>90</v>
      </c>
      <c r="D485" s="290" t="s">
        <v>822</v>
      </c>
      <c r="E485" s="200" t="str">
        <f>CONCATENATE(A485,"_",D485)</f>
        <v>MS_200326_003_V042</v>
      </c>
      <c r="F485" s="167" t="s">
        <v>470</v>
      </c>
      <c r="G485" s="293">
        <f ca="1">IF(F485&lt;&gt;"", IF(G485&lt;&gt;0, G485, NOW()), "")</f>
        <v>46107.576543287039</v>
      </c>
      <c r="H485" s="196">
        <v>90</v>
      </c>
      <c r="I485" s="273">
        <f ca="1">IF(H485&lt;&gt;"", IF(I485&lt;&gt;0, I485, NOW()), "")</f>
        <v>46108.478282060183</v>
      </c>
      <c r="J485" s="168" t="s">
        <v>469</v>
      </c>
      <c r="K485" s="220">
        <f ca="1">IF(J485&lt;&gt;"", IF(K485&lt;&gt;0, K485, NOW()), "")</f>
        <v>46111.427972337966</v>
      </c>
      <c r="L485" s="168" t="s">
        <v>535</v>
      </c>
      <c r="M485" s="168">
        <v>88</v>
      </c>
      <c r="N485" s="75" t="str">
        <f t="shared" si="0"/>
        <v/>
      </c>
      <c r="Z485" s="82" t="str">
        <f t="shared" si="1"/>
        <v xml:space="preserve"> </v>
      </c>
      <c r="AA485" s="198">
        <v>46115</v>
      </c>
    </row>
    <row r="486" spans="1:27">
      <c r="A486" s="176" t="s">
        <v>823</v>
      </c>
      <c r="B486" s="295" t="s">
        <v>824</v>
      </c>
      <c r="C486" s="167">
        <v>90</v>
      </c>
      <c r="D486" s="290" t="s">
        <v>825</v>
      </c>
      <c r="E486" s="200" t="str">
        <f>CONCATENATE(A486,"_",D486)</f>
        <v>MS_200326_004_V043</v>
      </c>
      <c r="F486" s="167" t="s">
        <v>469</v>
      </c>
      <c r="G486" s="293">
        <f ca="1">IF(F486&lt;&gt;"", IF(G486&lt;&gt;0, G486, NOW()), "")</f>
        <v>46107.721516898149</v>
      </c>
      <c r="H486" s="196">
        <v>90</v>
      </c>
      <c r="I486" s="273">
        <f ca="1">IF(H486&lt;&gt;"", IF(I486&lt;&gt;0, I486, NOW()), "")</f>
        <v>46112.402132175928</v>
      </c>
      <c r="J486" s="168" t="s">
        <v>472</v>
      </c>
      <c r="K486" s="220">
        <f ca="1">IF(J486&lt;&gt;"", IF(K486&lt;&gt;0, K486, NOW()), "")</f>
        <v>46112.462964583334</v>
      </c>
      <c r="L486" s="168" t="s">
        <v>535</v>
      </c>
      <c r="M486" s="168">
        <v>89</v>
      </c>
      <c r="N486" s="75" t="str">
        <f t="shared" si="0"/>
        <v/>
      </c>
      <c r="Z486" s="82" t="str">
        <f t="shared" si="1"/>
        <v xml:space="preserve"> </v>
      </c>
      <c r="AA486" s="198">
        <v>46115</v>
      </c>
    </row>
    <row r="487" spans="1:27">
      <c r="A487" s="176" t="s">
        <v>826</v>
      </c>
      <c r="B487" s="262">
        <f ca="1">IF(A487&lt;&gt;"", IF(B487&lt;&gt;0, B487, NOW()), "")</f>
        <v>46108.380690393518</v>
      </c>
      <c r="C487" s="167">
        <v>90</v>
      </c>
      <c r="D487" s="290" t="s">
        <v>827</v>
      </c>
      <c r="E487" s="200" t="str">
        <f>CONCATENATE(A487,"_",D487)</f>
        <v>MS_200326_002_V044</v>
      </c>
      <c r="F487" s="167" t="s">
        <v>470</v>
      </c>
      <c r="G487" s="293" t="s">
        <v>828</v>
      </c>
      <c r="H487" s="196">
        <v>90</v>
      </c>
      <c r="I487" s="273" t="s">
        <v>829</v>
      </c>
      <c r="J487" s="168" t="s">
        <v>469</v>
      </c>
      <c r="K487" s="220">
        <f ca="1">IF(J487&lt;&gt;"", IF(K487&lt;&gt;0, K487, NOW()), "")</f>
        <v>46111.606544097223</v>
      </c>
      <c r="L487" s="168" t="s">
        <v>535</v>
      </c>
      <c r="M487" s="168">
        <v>86</v>
      </c>
      <c r="N487" s="75" t="str">
        <f t="shared" si="0"/>
        <v/>
      </c>
      <c r="Z487" s="82" t="str">
        <f t="shared" si="1"/>
        <v xml:space="preserve"> </v>
      </c>
      <c r="AA487" s="198">
        <v>46115</v>
      </c>
    </row>
    <row r="488" spans="1:27">
      <c r="A488" s="176" t="s">
        <v>830</v>
      </c>
      <c r="B488" s="262">
        <f ca="1">IF(A488&lt;&gt;"", IF(B488&lt;&gt;0, B488, NOW()), "")</f>
        <v>46108.388711458334</v>
      </c>
      <c r="C488" s="167">
        <v>90</v>
      </c>
      <c r="D488" s="290" t="s">
        <v>831</v>
      </c>
      <c r="E488" s="200" t="str">
        <f>CONCATENATE(A488,"_",D488)</f>
        <v>MS_200326_005_V045</v>
      </c>
      <c r="F488" s="167" t="s">
        <v>540</v>
      </c>
      <c r="G488" s="273">
        <f ca="1">IF(F488&lt;&gt;"", IF(G488&lt;&gt;0, G488, NOW()), "")</f>
        <v>46108.406484722225</v>
      </c>
      <c r="H488" s="196">
        <v>90</v>
      </c>
      <c r="I488" s="273">
        <f ca="1">IF(H488&lt;&gt;"", IF(I488&lt;&gt;0, I488, NOW()), "")</f>
        <v>46108.693944444443</v>
      </c>
      <c r="J488" s="168" t="s">
        <v>469</v>
      </c>
      <c r="K488" s="220">
        <f ca="1">IF(J488&lt;&gt;"", IF(K488&lt;&gt;0, K488, NOW()), "")</f>
        <v>46113.548989236115</v>
      </c>
      <c r="L488" s="168" t="s">
        <v>535</v>
      </c>
      <c r="M488" s="168">
        <v>89</v>
      </c>
      <c r="N488" s="75" t="str">
        <f t="shared" si="0"/>
        <v/>
      </c>
      <c r="Z488" s="82" t="str">
        <f t="shared" si="1"/>
        <v xml:space="preserve"> </v>
      </c>
      <c r="AA488" s="198">
        <v>46115</v>
      </c>
    </row>
    <row r="489" spans="1:27">
      <c r="A489" s="176" t="s">
        <v>832</v>
      </c>
      <c r="B489" s="262">
        <f ca="1">IF(A489&lt;&gt;"", IF(B489&lt;&gt;0, B489, NOW()), "")</f>
        <v>46108.397760185188</v>
      </c>
      <c r="C489" s="167">
        <v>90</v>
      </c>
      <c r="D489" s="290" t="s">
        <v>833</v>
      </c>
      <c r="E489" s="200" t="str">
        <f>CONCATENATE(A489,"_",D489)</f>
        <v>MS_200326_006_V046</v>
      </c>
      <c r="F489" s="167" t="s">
        <v>540</v>
      </c>
      <c r="G489" s="273">
        <f ca="1">IF(F489&lt;&gt;"", IF(G489&lt;&gt;0, G489, NOW()), "")</f>
        <v>46111.368711111114</v>
      </c>
      <c r="H489" s="196">
        <v>90</v>
      </c>
      <c r="I489" s="273">
        <f ca="1">IF(H489&lt;&gt;"", IF(I489&lt;&gt;0, I489, NOW()), "")</f>
        <v>46111.627927430556</v>
      </c>
      <c r="J489" s="168" t="s">
        <v>472</v>
      </c>
      <c r="K489" s="220">
        <f ca="1">IF(J489&lt;&gt;"", IF(K489&lt;&gt;0, K489, NOW()), "")</f>
        <v>46111.685575462965</v>
      </c>
      <c r="L489" s="168" t="s">
        <v>535</v>
      </c>
      <c r="M489" s="168">
        <v>89</v>
      </c>
      <c r="N489" s="75" t="str">
        <f t="shared" si="0"/>
        <v/>
      </c>
      <c r="Z489" s="82" t="str">
        <f t="shared" si="1"/>
        <v xml:space="preserve"> </v>
      </c>
      <c r="AA489" s="198">
        <v>46115</v>
      </c>
    </row>
    <row r="490" spans="1:27">
      <c r="A490" s="176" t="s">
        <v>834</v>
      </c>
      <c r="B490" s="262">
        <f ca="1">IF(A490&lt;&gt;"", IF(B490&lt;&gt;0, B490, NOW()), "")</f>
        <v>46108.417790740743</v>
      </c>
      <c r="C490" s="167">
        <v>90</v>
      </c>
      <c r="D490" s="290" t="s">
        <v>835</v>
      </c>
      <c r="E490" s="200" t="str">
        <f>CONCATENATE(A490,"_",D490)</f>
        <v>MS_230326_001_V047</v>
      </c>
      <c r="F490" s="167" t="s">
        <v>473</v>
      </c>
      <c r="G490" s="273">
        <f ca="1">IF(F490&lt;&gt;"", IF(G490&lt;&gt;0, G490, NOW()), "")</f>
        <v>46111.373367361113</v>
      </c>
      <c r="H490" s="196">
        <v>90</v>
      </c>
      <c r="I490" s="273">
        <v>46111.677083333336</v>
      </c>
      <c r="J490" s="168" t="s">
        <v>469</v>
      </c>
      <c r="K490" s="220">
        <f ca="1">IF(J490&lt;&gt;"", IF(K490&lt;&gt;0, K490, NOW()), "")</f>
        <v>46112.490867708337</v>
      </c>
      <c r="L490" s="168" t="s">
        <v>535</v>
      </c>
      <c r="M490" s="30">
        <v>86</v>
      </c>
      <c r="N490" s="75" t="str">
        <f t="shared" si="0"/>
        <v/>
      </c>
      <c r="Z490" s="82" t="str">
        <f t="shared" si="1"/>
        <v xml:space="preserve"> </v>
      </c>
      <c r="AA490" s="298">
        <v>46120</v>
      </c>
    </row>
    <row r="491" spans="1:27">
      <c r="A491" s="176" t="s">
        <v>836</v>
      </c>
      <c r="B491" s="262">
        <f ca="1">IF(A491&lt;&gt;"", IF(B491&lt;&gt;0, B491, NOW()), "")</f>
        <v>46111.449228124999</v>
      </c>
      <c r="C491" s="167">
        <v>90</v>
      </c>
      <c r="D491" s="290" t="s">
        <v>837</v>
      </c>
      <c r="E491" s="200" t="str">
        <f>CONCATENATE(A491,"_",D491)</f>
        <v>MS_230326_002_V048</v>
      </c>
      <c r="F491" s="167" t="s">
        <v>470</v>
      </c>
      <c r="G491" s="293">
        <f ca="1">IF(F491&lt;&gt;"", IF(G491&lt;&gt;0, G491, NOW()), "")</f>
        <v>46111.495272106484</v>
      </c>
      <c r="H491" s="196">
        <v>90</v>
      </c>
      <c r="I491" s="273" t="s">
        <v>838</v>
      </c>
      <c r="J491" s="168" t="s">
        <v>469</v>
      </c>
      <c r="K491" s="219">
        <f ca="1">IF(J491&lt;&gt;"", IF(K491&lt;&gt;0, K491, NOW()), "")</f>
        <v>46112.590355324071</v>
      </c>
      <c r="L491" s="168" t="s">
        <v>535</v>
      </c>
      <c r="M491" s="168">
        <v>86</v>
      </c>
      <c r="N491" s="75" t="str">
        <f t="shared" si="0"/>
        <v/>
      </c>
      <c r="Z491" s="82" t="str">
        <f t="shared" si="1"/>
        <v xml:space="preserve"> </v>
      </c>
      <c r="AA491" s="198">
        <v>46115</v>
      </c>
    </row>
    <row r="492" spans="1:27">
      <c r="A492" s="176" t="s">
        <v>839</v>
      </c>
      <c r="B492" s="262">
        <f ca="1">IF(A492&lt;&gt;"", IF(B492&lt;&gt;0, B492, NOW()), "")</f>
        <v>46111.49491238426</v>
      </c>
      <c r="C492" s="167">
        <v>90</v>
      </c>
      <c r="D492" s="290" t="s">
        <v>840</v>
      </c>
      <c r="E492" s="200" t="str">
        <f>CONCATENATE(A492,"_",D492)</f>
        <v>MS_230326_003_V049</v>
      </c>
      <c r="F492" s="167" t="s">
        <v>472</v>
      </c>
      <c r="G492" s="273">
        <f ca="1">IF(F492&lt;&gt;"", IF(G492&lt;&gt;0, G492, NOW()), "")</f>
        <v>46111.595160416669</v>
      </c>
      <c r="H492" s="196">
        <v>90</v>
      </c>
      <c r="I492" s="273">
        <v>46113.578506944446</v>
      </c>
      <c r="J492" s="168" t="s">
        <v>469</v>
      </c>
      <c r="K492" s="220">
        <f ca="1">IF(J492&lt;&gt;"", IF(K492&lt;&gt;0, K492, NOW()), "")</f>
        <v>46113.699822916664</v>
      </c>
      <c r="L492" s="168" t="s">
        <v>535</v>
      </c>
      <c r="M492" s="168">
        <v>90</v>
      </c>
      <c r="N492" s="75" t="str">
        <f t="shared" si="0"/>
        <v>-</v>
      </c>
      <c r="Z492" s="82" t="str">
        <f t="shared" si="1"/>
        <v>DONE</v>
      </c>
      <c r="AA492" s="198">
        <v>46115</v>
      </c>
    </row>
    <row r="493" spans="1:27">
      <c r="A493" s="176" t="s">
        <v>841</v>
      </c>
      <c r="B493" s="262">
        <f ca="1">IF(A493&lt;&gt;"", IF(B493&lt;&gt;0, B493, NOW()), "")</f>
        <v>46111.548751736111</v>
      </c>
      <c r="C493" s="167">
        <v>90</v>
      </c>
      <c r="D493" s="290" t="s">
        <v>842</v>
      </c>
      <c r="E493" s="200" t="str">
        <f>CONCATENATE(A493,"_",D493)</f>
        <v>MS_230326_004_V050</v>
      </c>
      <c r="F493" s="167" t="s">
        <v>540</v>
      </c>
      <c r="G493" s="273">
        <f ca="1">IF(F493&lt;&gt;"", IF(G493&lt;&gt;0, G493, NOW()), "")</f>
        <v>46111.636184490744</v>
      </c>
      <c r="H493" s="196">
        <v>90</v>
      </c>
      <c r="I493" s="273">
        <f ca="1">IF(H493&lt;&gt;"", IF(I493&lt;&gt;0, I493, NOW()), "")</f>
        <v>46112.552814814815</v>
      </c>
      <c r="J493" s="168" t="s">
        <v>472</v>
      </c>
      <c r="K493" s="220">
        <f ca="1">IF(J493&lt;&gt;"", IF(K493&lt;&gt;0, K493, NOW()), "")</f>
        <v>46112.614123842592</v>
      </c>
      <c r="L493" s="168" t="s">
        <v>535</v>
      </c>
      <c r="M493" s="168">
        <v>88</v>
      </c>
      <c r="N493" s="75" t="str">
        <f t="shared" si="0"/>
        <v/>
      </c>
      <c r="Z493" s="82" t="str">
        <f t="shared" si="1"/>
        <v xml:space="preserve"> </v>
      </c>
      <c r="AA493" s="198">
        <v>46115</v>
      </c>
    </row>
    <row r="494" spans="1:27">
      <c r="A494" s="176" t="s">
        <v>843</v>
      </c>
      <c r="B494" s="262">
        <f ca="1">IF(A494&lt;&gt;"", IF(B494&lt;&gt;0, B494, NOW()), "")</f>
        <v>46111.571832060188</v>
      </c>
      <c r="C494" s="167">
        <v>90</v>
      </c>
      <c r="D494" s="290" t="s">
        <v>844</v>
      </c>
      <c r="E494" s="200" t="str">
        <f>CONCATENATE(A494,"_",D494)</f>
        <v>MS_230326_005_V051</v>
      </c>
      <c r="F494" s="167" t="s">
        <v>473</v>
      </c>
      <c r="G494" s="293">
        <v>46111.685416666667</v>
      </c>
      <c r="H494" s="196">
        <v>90</v>
      </c>
      <c r="I494" s="273" t="s">
        <v>845</v>
      </c>
      <c r="J494" s="168" t="s">
        <v>469</v>
      </c>
      <c r="K494" s="220">
        <f ca="1">IF(J494&lt;&gt;"", IF(K494&lt;&gt;0, K494, NOW()), "")</f>
        <v>46112.689832060183</v>
      </c>
      <c r="L494" s="168" t="s">
        <v>535</v>
      </c>
      <c r="M494" s="168">
        <v>86</v>
      </c>
      <c r="N494" s="75" t="str">
        <f t="shared" si="0"/>
        <v/>
      </c>
      <c r="Z494" s="82" t="str">
        <f t="shared" si="1"/>
        <v xml:space="preserve"> </v>
      </c>
      <c r="AA494" s="198">
        <v>46117</v>
      </c>
    </row>
    <row r="495" spans="1:27">
      <c r="A495" s="176" t="s">
        <v>846</v>
      </c>
      <c r="B495" s="300" t="s">
        <v>847</v>
      </c>
      <c r="C495" s="167">
        <v>90</v>
      </c>
      <c r="D495" s="290" t="s">
        <v>848</v>
      </c>
      <c r="E495" s="200" t="str">
        <f>CONCATENATE(A495,"_",D495)</f>
        <v>MS_230326_006_V052</v>
      </c>
      <c r="F495" s="167" t="s">
        <v>470</v>
      </c>
      <c r="G495" s="273">
        <f ca="1">IF(F495&lt;&gt;"", IF(G495&lt;&gt;0, G495, NOW()), "")</f>
        <v>46112.376168287039</v>
      </c>
      <c r="H495" s="196">
        <v>90</v>
      </c>
      <c r="I495" s="273">
        <f ca="1">IF(H495&lt;&gt;"", IF(I495&lt;&gt;0, I495, NOW()), "")</f>
        <v>46112.606432291665</v>
      </c>
      <c r="J495" s="168" t="s">
        <v>472</v>
      </c>
      <c r="K495" s="220">
        <f ca="1">IF(J495&lt;&gt;"", IF(K495&lt;&gt;0, K495, NOW()), "")</f>
        <v>46112.681626967591</v>
      </c>
      <c r="L495" s="168" t="s">
        <v>535</v>
      </c>
      <c r="M495" s="168">
        <v>89</v>
      </c>
      <c r="N495" s="75" t="str">
        <f t="shared" si="0"/>
        <v/>
      </c>
      <c r="Z495" s="82" t="str">
        <f t="shared" si="1"/>
        <v xml:space="preserve"> </v>
      </c>
      <c r="AA495" s="198">
        <v>46115</v>
      </c>
    </row>
    <row r="496" spans="1:27">
      <c r="A496" s="176" t="s">
        <v>849</v>
      </c>
      <c r="B496" s="262">
        <f ca="1">IF(A496&lt;&gt;"", IF(B496&lt;&gt;0, B496, NOW()), "")</f>
        <v>46111.621394097223</v>
      </c>
      <c r="C496" s="167">
        <v>90</v>
      </c>
      <c r="D496" s="290" t="s">
        <v>850</v>
      </c>
      <c r="E496" s="200" t="str">
        <f>CONCATENATE(A496,"_",D496)</f>
        <v>MS_240326_001_V053</v>
      </c>
      <c r="F496" s="167" t="s">
        <v>470</v>
      </c>
      <c r="G496" s="293">
        <f ca="1">IF(F496&lt;&gt;"", IF(G496&lt;&gt;0, G496, NOW()), "")</f>
        <v>46112.608909374998</v>
      </c>
      <c r="H496" s="196">
        <v>90</v>
      </c>
      <c r="I496" s="273" t="s">
        <v>851</v>
      </c>
      <c r="J496" s="168" t="s">
        <v>469</v>
      </c>
      <c r="K496" s="220">
        <f ca="1">IF(J496&lt;&gt;"", IF(K496&lt;&gt;0, K496, NOW()), "")</f>
        <v>46114.404430208335</v>
      </c>
      <c r="L496" s="168" t="s">
        <v>535</v>
      </c>
      <c r="M496" s="30">
        <v>87</v>
      </c>
      <c r="N496" s="75" t="str">
        <f t="shared" si="0"/>
        <v/>
      </c>
      <c r="Z496" s="82" t="str">
        <f t="shared" si="1"/>
        <v xml:space="preserve"> </v>
      </c>
      <c r="AA496" s="298">
        <v>46120</v>
      </c>
    </row>
    <row r="497" spans="1:27">
      <c r="A497" s="176" t="s">
        <v>852</v>
      </c>
      <c r="B497" s="262">
        <f ca="1">IF(A497&lt;&gt;"", IF(B497&lt;&gt;0, B497, NOW()), "")</f>
        <v>46111.654651620367</v>
      </c>
      <c r="C497" s="167">
        <v>90</v>
      </c>
      <c r="D497" s="290" t="s">
        <v>853</v>
      </c>
      <c r="E497" s="200" t="str">
        <f>CONCATENATE(A497,"_",D497)</f>
        <v>MS_240326_002_V054</v>
      </c>
      <c r="F497" s="167" t="s">
        <v>540</v>
      </c>
      <c r="G497" s="293">
        <f ca="1">IF(F497&lt;&gt;"", IF(G497&lt;&gt;0, G497, NOW()), "")</f>
        <v>46112.557739351854</v>
      </c>
      <c r="H497" s="196">
        <v>90</v>
      </c>
      <c r="I497" s="273">
        <f ca="1">IF(H497&lt;&gt;"", IF(I497&lt;&gt;0, I497, NOW()), "")</f>
        <v>46113.444104745373</v>
      </c>
      <c r="J497" s="168" t="s">
        <v>472</v>
      </c>
      <c r="K497" s="220">
        <f ca="1">IF(J497&lt;&gt;"", IF(K497&lt;&gt;0, K497, NOW()), "")</f>
        <v>46113.626277777781</v>
      </c>
      <c r="L497" s="168" t="s">
        <v>535</v>
      </c>
      <c r="M497" s="168">
        <v>84</v>
      </c>
      <c r="N497" s="75" t="str">
        <f t="shared" si="0"/>
        <v/>
      </c>
      <c r="Z497" s="82" t="str">
        <f t="shared" si="1"/>
        <v xml:space="preserve"> </v>
      </c>
      <c r="AA497" s="198">
        <v>46115</v>
      </c>
    </row>
    <row r="498" spans="1:27">
      <c r="A498" s="176" t="s">
        <v>854</v>
      </c>
      <c r="B498" s="262">
        <f ca="1">IF(A498&lt;&gt;"", IF(B498&lt;&gt;0, B498, NOW()), "")</f>
        <v>46111.681424189817</v>
      </c>
      <c r="C498" s="167">
        <v>90</v>
      </c>
      <c r="D498" s="290" t="s">
        <v>855</v>
      </c>
      <c r="E498" s="200" t="str">
        <f>CONCATENATE(A498,"_",D498)</f>
        <v>MS_240326_003_V055</v>
      </c>
      <c r="F498" s="167" t="s">
        <v>473</v>
      </c>
      <c r="G498" s="273">
        <f ca="1">IF(F498&lt;&gt;"", IF(G498&lt;&gt;0, G498, NOW()), "")</f>
        <v>46112.622437847225</v>
      </c>
      <c r="H498" s="196">
        <v>90</v>
      </c>
      <c r="I498" s="273">
        <f ca="1">IF(H498&lt;&gt;"", IF(I498&lt;&gt;0, I498, NOW()), "")</f>
        <v>46113.57508761574</v>
      </c>
      <c r="J498" s="168" t="s">
        <v>469</v>
      </c>
      <c r="K498" s="220">
        <f ca="1">IF(J498&lt;&gt;"", IF(K498&lt;&gt;0, K498, NOW()), "")</f>
        <v>46114.404061458335</v>
      </c>
      <c r="L498" s="168" t="s">
        <v>535</v>
      </c>
      <c r="M498" s="30">
        <v>88</v>
      </c>
      <c r="N498" s="75" t="str">
        <f t="shared" si="0"/>
        <v/>
      </c>
      <c r="Z498" s="82" t="str">
        <f t="shared" si="1"/>
        <v xml:space="preserve"> </v>
      </c>
      <c r="AA498" s="298">
        <v>46120</v>
      </c>
    </row>
    <row r="499" spans="1:27">
      <c r="A499" s="176" t="s">
        <v>856</v>
      </c>
      <c r="B499" s="262">
        <f ca="1">IF(A499&lt;&gt;"", IF(B499&lt;&gt;0, B499, NOW()), "")</f>
        <v>46111.712502546296</v>
      </c>
      <c r="C499" s="167">
        <v>90</v>
      </c>
      <c r="D499" s="290" t="s">
        <v>857</v>
      </c>
      <c r="E499" s="200" t="str">
        <f>CONCATENATE(A499,"_",D499)</f>
        <v>MS_240326_004_V056</v>
      </c>
      <c r="F499" s="167" t="s">
        <v>562</v>
      </c>
      <c r="G499" s="273">
        <v>46115.541666666664</v>
      </c>
      <c r="H499" s="196">
        <v>90</v>
      </c>
      <c r="I499" s="273" t="s">
        <v>858</v>
      </c>
      <c r="J499" s="168" t="s">
        <v>469</v>
      </c>
      <c r="K499" s="219">
        <f ca="1">IF(J499&lt;&gt;"", IF(K499&lt;&gt;0, K499, NOW()), "")</f>
        <v>46116.617855092591</v>
      </c>
      <c r="L499" s="168" t="s">
        <v>535</v>
      </c>
      <c r="M499" s="168">
        <v>90</v>
      </c>
      <c r="N499" s="75" t="str">
        <f t="shared" si="0"/>
        <v>-</v>
      </c>
      <c r="Z499" s="82" t="str">
        <f t="shared" si="1"/>
        <v>DONE</v>
      </c>
      <c r="AA499" s="198">
        <v>46117</v>
      </c>
    </row>
    <row r="500" spans="1:27">
      <c r="A500" s="176" t="s">
        <v>859</v>
      </c>
      <c r="B500" s="300" t="s">
        <v>860</v>
      </c>
      <c r="C500" s="167">
        <v>90</v>
      </c>
      <c r="D500" s="290" t="s">
        <v>861</v>
      </c>
      <c r="E500" s="200" t="str">
        <f>CONCATENATE(A500,"_",D500)</f>
        <v>MS_240326_005_V057</v>
      </c>
      <c r="F500" s="167" t="s">
        <v>470</v>
      </c>
      <c r="G500" s="293">
        <f ca="1">IF(F500&lt;&gt;"", IF(G500&lt;&gt;0, G500, NOW()), "")</f>
        <v>46113.498807291668</v>
      </c>
      <c r="H500" s="196">
        <v>90</v>
      </c>
      <c r="I500" s="273">
        <f ca="1">IF(H500&lt;&gt;"", IF(I500&lt;&gt;0, I500, NOW()), "")</f>
        <v>46113.702270486108</v>
      </c>
      <c r="J500" s="168" t="s">
        <v>469</v>
      </c>
      <c r="K500" s="220">
        <f ca="1">IF(J500&lt;&gt;"", IF(K500&lt;&gt;0, K500, NOW()), "")</f>
        <v>46114.463891435182</v>
      </c>
      <c r="L500" s="168" t="s">
        <v>535</v>
      </c>
      <c r="M500" s="168">
        <v>89</v>
      </c>
      <c r="N500" s="75" t="str">
        <f t="shared" si="0"/>
        <v/>
      </c>
      <c r="Z500" s="82" t="str">
        <f t="shared" si="1"/>
        <v xml:space="preserve"> </v>
      </c>
      <c r="AA500" s="198">
        <v>46117</v>
      </c>
    </row>
    <row r="501" spans="1:27">
      <c r="A501" s="176" t="s">
        <v>862</v>
      </c>
      <c r="B501" s="262">
        <f ca="1">IF(A501&lt;&gt;"", IF(B501&lt;&gt;0, B501, NOW()), "")</f>
        <v>46112.387307175923</v>
      </c>
      <c r="C501" s="167">
        <v>90</v>
      </c>
      <c r="D501" s="290" t="s">
        <v>863</v>
      </c>
      <c r="E501" s="200" t="str">
        <f>CONCATENATE(A501,"_",D501)</f>
        <v>MS_240326_006_V058</v>
      </c>
      <c r="F501" s="167" t="s">
        <v>540</v>
      </c>
      <c r="G501" s="293" t="s">
        <v>864</v>
      </c>
      <c r="H501" s="196">
        <v>90</v>
      </c>
      <c r="I501" s="273">
        <f ca="1">IF(H501&lt;&gt;"", IF(I501&lt;&gt;0, I501, NOW()), "")</f>
        <v>46114.381282291666</v>
      </c>
      <c r="J501" s="168" t="s">
        <v>472</v>
      </c>
      <c r="K501" s="220">
        <f ca="1">IF(J501&lt;&gt;"", IF(K501&lt;&gt;0, K501, NOW()), "")</f>
        <v>46114.419215624999</v>
      </c>
      <c r="L501" s="168" t="s">
        <v>535</v>
      </c>
      <c r="M501" s="168">
        <v>90</v>
      </c>
      <c r="N501" s="75" t="str">
        <f t="shared" si="0"/>
        <v>-</v>
      </c>
      <c r="Z501" s="82" t="str">
        <f t="shared" si="1"/>
        <v>DONE</v>
      </c>
      <c r="AA501" s="198">
        <v>46117</v>
      </c>
    </row>
    <row r="502" spans="1:27">
      <c r="A502" s="176" t="s">
        <v>865</v>
      </c>
      <c r="B502" s="262">
        <f ca="1">IF(A502&lt;&gt;"", IF(B502&lt;&gt;0, B502, NOW()), "")</f>
        <v>46112.395238194447</v>
      </c>
      <c r="C502" s="167">
        <v>90</v>
      </c>
      <c r="D502" s="290" t="s">
        <v>866</v>
      </c>
      <c r="E502" s="200" t="str">
        <f>CONCATENATE(A502,"_",D502)</f>
        <v>MS_260326_001_V059</v>
      </c>
      <c r="F502" s="167" t="s">
        <v>473</v>
      </c>
      <c r="G502" s="273">
        <f ca="1">IF(F502&lt;&gt;"", IF(G502&lt;&gt;0, G502, NOW()), "")</f>
        <v>46113.576807060184</v>
      </c>
      <c r="H502" s="196">
        <v>90</v>
      </c>
      <c r="I502" s="273">
        <f ca="1">IF(H502&lt;&gt;"", IF(I502&lt;&gt;0, I502, NOW()), "")</f>
        <v>46114.463891435182</v>
      </c>
      <c r="J502" s="168" t="s">
        <v>469</v>
      </c>
      <c r="K502" s="219">
        <f ca="1">IF(J502&lt;&gt;"", IF(K502&lt;&gt;0, K502, NOW()), "")</f>
        <v>46114.568962962963</v>
      </c>
      <c r="L502" s="168" t="s">
        <v>535</v>
      </c>
      <c r="M502" s="168">
        <v>90</v>
      </c>
      <c r="N502" s="75" t="str">
        <f t="shared" si="0"/>
        <v>-</v>
      </c>
      <c r="Z502" s="82" t="str">
        <f t="shared" si="1"/>
        <v>DONE</v>
      </c>
      <c r="AA502" s="198">
        <v>46117</v>
      </c>
    </row>
    <row r="503" spans="1:27">
      <c r="A503" s="176" t="s">
        <v>867</v>
      </c>
      <c r="B503" s="262">
        <f ca="1">IF(A503&lt;&gt;"", IF(B503&lt;&gt;0, B503, NOW()), "")</f>
        <v>46113.394051620373</v>
      </c>
      <c r="C503" s="167">
        <v>90</v>
      </c>
      <c r="D503" s="290" t="s">
        <v>868</v>
      </c>
      <c r="E503" s="200" t="str">
        <f>CONCATENATE(A503,"_",D503)</f>
        <v>MS_260326_002_V060</v>
      </c>
      <c r="F503" s="167" t="s">
        <v>470</v>
      </c>
      <c r="G503" s="273">
        <f ca="1">IF(F503&lt;&gt;"", IF(G503&lt;&gt;0, G503, NOW()), "")</f>
        <v>46114.362718402779</v>
      </c>
      <c r="H503" s="196">
        <v>90</v>
      </c>
      <c r="I503" s="273">
        <f ca="1">IF(H503&lt;&gt;"", IF(I503&lt;&gt;0, I503, NOW()), "")</f>
        <v>46114.500655902775</v>
      </c>
      <c r="J503" s="168" t="s">
        <v>469</v>
      </c>
      <c r="K503" s="219">
        <f ca="1">IF(J503&lt;&gt;"", IF(K503&lt;&gt;0, K503, NOW()), "")</f>
        <v>46115.428382638886</v>
      </c>
      <c r="L503" s="168" t="s">
        <v>535</v>
      </c>
      <c r="M503" s="168">
        <v>88</v>
      </c>
      <c r="N503" s="75" t="str">
        <f t="shared" si="0"/>
        <v/>
      </c>
      <c r="Z503" s="82" t="str">
        <f t="shared" si="1"/>
        <v xml:space="preserve"> </v>
      </c>
      <c r="AA503" s="198">
        <v>46117</v>
      </c>
    </row>
    <row r="504" spans="1:27">
      <c r="A504" s="176" t="s">
        <v>869</v>
      </c>
      <c r="B504" s="262">
        <f ca="1">IF(A504&lt;&gt;"", IF(B504&lt;&gt;0, B504, NOW()), "")</f>
        <v>46113.407222453701</v>
      </c>
      <c r="C504" s="167">
        <v>90</v>
      </c>
      <c r="D504" s="290" t="s">
        <v>870</v>
      </c>
      <c r="E504" s="200" t="str">
        <f>CONCATENATE(A504,"_",D504)</f>
        <v>MS_260326_003_V061</v>
      </c>
      <c r="F504" s="167" t="s">
        <v>540</v>
      </c>
      <c r="G504" s="273">
        <f ca="1">IF(F504&lt;&gt;"", IF(G504&lt;&gt;0, G504, NOW()), "")</f>
        <v>46114.382665046294</v>
      </c>
      <c r="H504" s="196">
        <v>90</v>
      </c>
      <c r="I504" s="273">
        <f ca="1">IF(H504&lt;&gt;"", IF(I504&lt;&gt;0, I504, NOW()), "")</f>
        <v>46114.669371990742</v>
      </c>
      <c r="J504" s="168" t="s">
        <v>472</v>
      </c>
      <c r="K504" s="218">
        <f ca="1">IF(J504&lt;&gt;"", IF(K504&lt;&gt;0, K504, NOW()), "")</f>
        <v>46115.479766203702</v>
      </c>
      <c r="L504" s="168" t="s">
        <v>535</v>
      </c>
      <c r="M504" s="168">
        <v>88</v>
      </c>
      <c r="N504" s="75" t="str">
        <f t="shared" si="0"/>
        <v/>
      </c>
      <c r="Z504" s="82" t="str">
        <f t="shared" si="1"/>
        <v xml:space="preserve"> </v>
      </c>
      <c r="AA504" s="198">
        <v>46117</v>
      </c>
    </row>
    <row r="505" spans="1:27">
      <c r="A505" s="176" t="s">
        <v>871</v>
      </c>
      <c r="B505" s="262">
        <f ca="1">IF(A505&lt;&gt;"", IF(B505&lt;&gt;0, B505, NOW()), "")</f>
        <v>46113.417677893522</v>
      </c>
      <c r="C505" s="167">
        <v>90</v>
      </c>
      <c r="D505" s="290" t="s">
        <v>872</v>
      </c>
      <c r="E505" s="200" t="str">
        <f>CONCATENATE(A505,"_",D505)</f>
        <v>MS_260326_004_V062</v>
      </c>
      <c r="F505" s="167" t="s">
        <v>473</v>
      </c>
      <c r="G505" s="273">
        <f ca="1">IF(F505&lt;&gt;"", IF(G505&lt;&gt;0, G505, NOW()), "")</f>
        <v>46114.545244791669</v>
      </c>
      <c r="H505" s="196">
        <v>90</v>
      </c>
      <c r="I505" s="273">
        <f ca="1">IF(H505&lt;&gt;"", IF(I505&lt;&gt;0, I505, NOW()), "")</f>
        <v>46115.472970717594</v>
      </c>
      <c r="J505" s="168" t="s">
        <v>469</v>
      </c>
      <c r="K505" s="219">
        <f ca="1">IF(J505&lt;&gt;"", IF(K505&lt;&gt;0, K505, NOW()), "")</f>
        <v>46115.565498032411</v>
      </c>
      <c r="L505" s="168" t="s">
        <v>535</v>
      </c>
      <c r="M505" s="168">
        <v>89</v>
      </c>
      <c r="N505" s="75" t="str">
        <f t="shared" si="0"/>
        <v/>
      </c>
      <c r="Z505" s="82" t="str">
        <f t="shared" si="1"/>
        <v xml:space="preserve"> </v>
      </c>
      <c r="AA505" s="198">
        <v>46117</v>
      </c>
    </row>
    <row r="506" spans="1:27">
      <c r="A506" s="176" t="s">
        <v>873</v>
      </c>
      <c r="B506" s="262">
        <f ca="1">IF(A506&lt;&gt;"", IF(B506&lt;&gt;0, B506, NOW()), "")</f>
        <v>46114.409482986113</v>
      </c>
      <c r="C506" s="167">
        <v>90</v>
      </c>
      <c r="D506" s="290" t="s">
        <v>874</v>
      </c>
      <c r="E506" s="200" t="str">
        <f>CONCATENATE(A506,"_",D506)</f>
        <v>MS_260326_005_V063</v>
      </c>
      <c r="F506" s="167" t="s">
        <v>470</v>
      </c>
      <c r="G506" s="293">
        <f ca="1">IF(F506&lt;&gt;"", IF(G506&lt;&gt;0, G506, NOW()), "")</f>
        <v>46114.479241203706</v>
      </c>
      <c r="H506" s="196">
        <v>90</v>
      </c>
      <c r="I506" s="273">
        <f ca="1">IF(H506&lt;&gt;"", IF(I506&lt;&gt;0, I506, NOW()), "")</f>
        <v>46114.723481365741</v>
      </c>
      <c r="J506" s="168" t="s">
        <v>469</v>
      </c>
      <c r="K506" s="219">
        <f ca="1">IF(J506&lt;&gt;"", IF(K506&lt;&gt;0, K506, NOW()), "")</f>
        <v>46115.480928703706</v>
      </c>
      <c r="L506" s="168" t="s">
        <v>535</v>
      </c>
      <c r="M506" s="168">
        <v>90</v>
      </c>
      <c r="N506" s="75" t="str">
        <f t="shared" si="0"/>
        <v>-</v>
      </c>
      <c r="Z506" s="82" t="str">
        <f t="shared" si="1"/>
        <v>DONE</v>
      </c>
      <c r="AA506" s="198">
        <v>46117</v>
      </c>
    </row>
    <row r="507" spans="1:27">
      <c r="A507" s="176" t="s">
        <v>875</v>
      </c>
      <c r="B507" s="262">
        <f ca="1">IF(A507&lt;&gt;"", IF(B507&lt;&gt;0, B507, NOW()), "")</f>
        <v>46114.419577199071</v>
      </c>
      <c r="C507" s="167">
        <v>90</v>
      </c>
      <c r="D507" s="290" t="s">
        <v>876</v>
      </c>
      <c r="E507" s="200" t="str">
        <f>CONCATENATE(A507,"_",D507)</f>
        <v>MS_260326_006_V064</v>
      </c>
      <c r="F507" s="167" t="s">
        <v>540</v>
      </c>
      <c r="G507" s="273">
        <f ca="1">IF(F507&lt;&gt;"", IF(G507&lt;&gt;0, G507, NOW()), "")</f>
        <v>46114.697254976854</v>
      </c>
      <c r="H507" s="196">
        <v>90</v>
      </c>
      <c r="I507" s="273">
        <f ca="1">IF(H507&lt;&gt;"", IF(I507&lt;&gt;0, I507, NOW()), "")</f>
        <v>46115.601282986114</v>
      </c>
      <c r="J507" s="168" t="s">
        <v>469</v>
      </c>
      <c r="K507" s="219">
        <f ca="1">IF(J507&lt;&gt;"", IF(K507&lt;&gt;0, K507, NOW()), "")</f>
        <v>46115.685729745368</v>
      </c>
      <c r="L507" s="168" t="s">
        <v>535</v>
      </c>
      <c r="M507" s="30">
        <v>89</v>
      </c>
      <c r="N507" s="75" t="str">
        <f t="shared" si="0"/>
        <v/>
      </c>
      <c r="Z507" s="82" t="str">
        <f t="shared" si="1"/>
        <v xml:space="preserve"> </v>
      </c>
      <c r="AA507" s="298">
        <v>46120</v>
      </c>
    </row>
    <row r="508" spans="1:27">
      <c r="A508" s="176" t="s">
        <v>877</v>
      </c>
      <c r="B508" s="262">
        <f ca="1">IF(A508&lt;&gt;"", IF(B508&lt;&gt;0, B508, NOW()), "")</f>
        <v>46114.429893171298</v>
      </c>
      <c r="C508" s="167">
        <v>90</v>
      </c>
      <c r="D508" s="290" t="s">
        <v>878</v>
      </c>
      <c r="E508" s="200" t="str">
        <f>CONCATENATE(A508,"_",D508)</f>
        <v>MS_280326_001_V065</v>
      </c>
      <c r="F508" s="167" t="s">
        <v>470</v>
      </c>
      <c r="G508" s="293">
        <f ca="1">IF(F508&lt;&gt;"", IF(G508&lt;&gt;0, G508, NOW()), "")</f>
        <v>46115.389667824071</v>
      </c>
      <c r="H508" s="196">
        <v>90</v>
      </c>
      <c r="I508" s="273">
        <f ca="1">IF(H508&lt;&gt;"", IF(I508&lt;&gt;0, I508, NOW()), "")</f>
        <v>46115.669817245369</v>
      </c>
      <c r="J508" s="168" t="s">
        <v>469</v>
      </c>
      <c r="K508" s="220">
        <f ca="1">IF(J508&lt;&gt;"", IF(K508&lt;&gt;0, K508, NOW()), "")</f>
        <v>46116.577448842596</v>
      </c>
      <c r="L508" s="168" t="s">
        <v>535</v>
      </c>
      <c r="M508" s="168">
        <v>88</v>
      </c>
      <c r="N508" s="75" t="str">
        <f t="shared" si="0"/>
        <v/>
      </c>
      <c r="Z508" s="82" t="str">
        <f t="shared" si="1"/>
        <v xml:space="preserve"> </v>
      </c>
      <c r="AA508" s="198">
        <v>46117</v>
      </c>
    </row>
    <row r="509" spans="1:27">
      <c r="A509" s="176" t="s">
        <v>879</v>
      </c>
      <c r="B509" s="295" t="s">
        <v>880</v>
      </c>
      <c r="C509" s="167">
        <v>90</v>
      </c>
      <c r="D509" s="290" t="s">
        <v>881</v>
      </c>
      <c r="E509" s="200" t="str">
        <f>CONCATENATE(A509,"_",D509)</f>
        <v>MS_280326_002_V066</v>
      </c>
      <c r="F509" s="167" t="s">
        <v>473</v>
      </c>
      <c r="G509" s="293" t="s">
        <v>882</v>
      </c>
      <c r="H509" s="196">
        <v>90</v>
      </c>
      <c r="I509" s="273" t="s">
        <v>883</v>
      </c>
      <c r="J509" s="168" t="s">
        <v>469</v>
      </c>
      <c r="K509" s="220">
        <f ca="1">IF(J509&lt;&gt;"", IF(K509&lt;&gt;0, K509, NOW()), "")</f>
        <v>46118.576620254629</v>
      </c>
      <c r="L509" s="168" t="s">
        <v>535</v>
      </c>
      <c r="M509" s="30">
        <v>90</v>
      </c>
      <c r="N509" s="75" t="str">
        <f t="shared" si="0"/>
        <v>-</v>
      </c>
      <c r="Z509" s="82" t="str">
        <f t="shared" si="1"/>
        <v>DONE</v>
      </c>
      <c r="AA509" s="298">
        <v>46120</v>
      </c>
    </row>
    <row r="510" spans="1:27">
      <c r="A510" s="176" t="s">
        <v>884</v>
      </c>
      <c r="B510" s="262">
        <f ca="1">IF(A510&lt;&gt;"", IF(B510&lt;&gt;0, B510, NOW()), "")</f>
        <v>46115.61498622685</v>
      </c>
      <c r="C510" s="167">
        <v>90</v>
      </c>
      <c r="D510" s="290" t="s">
        <v>885</v>
      </c>
      <c r="E510" s="200" t="str">
        <f>CONCATENATE(A510,"_",D510)</f>
        <v>MS_280326_003_V067</v>
      </c>
      <c r="F510" s="167" t="s">
        <v>470</v>
      </c>
      <c r="G510" s="293">
        <f ca="1">IF(F510&lt;&gt;"", IF(G510&lt;&gt;0, G510, NOW()), "")</f>
        <v>46116.370423842593</v>
      </c>
      <c r="H510" s="196">
        <v>90</v>
      </c>
      <c r="I510" s="273">
        <f ca="1">IF(H510&lt;&gt;"", IF(I510&lt;&gt;0, I510, NOW()), "")</f>
        <v>46116.611659722221</v>
      </c>
      <c r="J510" s="168" t="s">
        <v>469</v>
      </c>
      <c r="K510" s="220">
        <f ca="1">IF(J510&lt;&gt;"", IF(K510&lt;&gt;0, K510, NOW()), "")</f>
        <v>46118.453275462962</v>
      </c>
      <c r="L510" s="168" t="s">
        <v>535</v>
      </c>
      <c r="M510" s="30">
        <v>90</v>
      </c>
      <c r="N510" s="75" t="str">
        <f t="shared" si="0"/>
        <v>-</v>
      </c>
      <c r="Z510" s="82" t="str">
        <f t="shared" si="1"/>
        <v>DONE</v>
      </c>
      <c r="AA510" s="298">
        <v>46120</v>
      </c>
    </row>
    <row r="511" spans="1:27">
      <c r="A511" s="95" t="s">
        <v>886</v>
      </c>
      <c r="B511" s="261">
        <f ca="1">IF(A511&lt;&gt;"", IF(B511&lt;&gt;0, B511, NOW()), "")</f>
        <v>46115.67573101852</v>
      </c>
      <c r="C511" s="28">
        <v>90</v>
      </c>
      <c r="D511" s="291" t="s">
        <v>887</v>
      </c>
      <c r="E511" s="268" t="str">
        <f>CONCATENATE(A511,"_",D511)</f>
        <v>MS_280326_004_V068</v>
      </c>
      <c r="F511" s="28" t="s">
        <v>473</v>
      </c>
      <c r="G511" s="270" t="s">
        <v>888</v>
      </c>
      <c r="H511" s="29">
        <v>90</v>
      </c>
      <c r="I511" s="271">
        <f ca="1">IF(H511&lt;&gt;"", IF(I511&lt;&gt;0, I511, NOW()), "")</f>
        <v>46118.680929629627</v>
      </c>
      <c r="J511" s="30" t="s">
        <v>469</v>
      </c>
      <c r="K511" s="215" t="s">
        <v>889</v>
      </c>
      <c r="L511" s="30" t="s">
        <v>535</v>
      </c>
      <c r="N511" s="75" t="str">
        <f t="shared" si="0"/>
        <v/>
      </c>
      <c r="Z511" s="82" t="str">
        <f t="shared" si="1"/>
        <v xml:space="preserve"> </v>
      </c>
    </row>
    <row r="512" spans="1:27">
      <c r="A512" s="95" t="s">
        <v>890</v>
      </c>
      <c r="B512" s="261" t="s">
        <v>891</v>
      </c>
      <c r="C512" s="28">
        <v>90</v>
      </c>
      <c r="D512" s="291" t="s">
        <v>892</v>
      </c>
      <c r="E512" s="268" t="str">
        <f>CONCATENATE(A512,"_",D512)</f>
        <v>MS_290326_001_V069</v>
      </c>
      <c r="F512" s="28" t="s">
        <v>540</v>
      </c>
      <c r="G512" s="271">
        <f ca="1">IF(F512&lt;&gt;"", IF(G512&lt;&gt;0, G512, NOW()), "")</f>
        <v>46118.371846412039</v>
      </c>
      <c r="H512" s="29">
        <v>90</v>
      </c>
      <c r="I512" s="271">
        <f ca="1">IF(H512&lt;&gt;"", IF(I512&lt;&gt;0, I512, NOW()), "")</f>
        <v>46118.614537268521</v>
      </c>
      <c r="J512" s="30" t="s">
        <v>469</v>
      </c>
      <c r="K512" s="215">
        <f ca="1">IF(J512&lt;&gt;"", IF(K512&lt;&gt;0, K512, NOW()), "")</f>
        <v>46118.686565393517</v>
      </c>
      <c r="L512" s="30" t="s">
        <v>535</v>
      </c>
      <c r="N512" s="75" t="str">
        <f t="shared" si="0"/>
        <v/>
      </c>
      <c r="Z512" s="82" t="str">
        <f t="shared" si="1"/>
        <v xml:space="preserve"> </v>
      </c>
    </row>
    <row r="513" spans="1:30">
      <c r="A513" s="176" t="s">
        <v>893</v>
      </c>
      <c r="B513" s="262">
        <f ca="1">IF(A513&lt;&gt;"", IF(B513&lt;&gt;0, B513, NOW()), "")</f>
        <v>46118.49699861111</v>
      </c>
      <c r="C513" s="167">
        <v>89</v>
      </c>
      <c r="D513" s="290" t="s">
        <v>894</v>
      </c>
      <c r="E513" s="200" t="str">
        <f>CONCATENATE(A513,"_",D513)</f>
        <v>MS_010426_001_V070</v>
      </c>
      <c r="F513" s="167" t="s">
        <v>470</v>
      </c>
      <c r="G513" s="293" t="s">
        <v>895</v>
      </c>
      <c r="H513" s="196">
        <v>89</v>
      </c>
      <c r="I513" s="273">
        <f ca="1">IF(H513&lt;&gt;"", IF(I513&lt;&gt;0, I513, NOW()), "")</f>
        <v>46118.694246643521</v>
      </c>
      <c r="J513" s="168" t="s">
        <v>469</v>
      </c>
      <c r="K513" s="219">
        <f ca="1">IF(J513&lt;&gt;"", IF(K513&lt;&gt;0, K513, NOW()), "")</f>
        <v>46118.731238194443</v>
      </c>
      <c r="L513" s="168" t="s">
        <v>535</v>
      </c>
      <c r="M513" s="30">
        <v>87</v>
      </c>
      <c r="AA513" s="298">
        <v>46119</v>
      </c>
    </row>
    <row r="514" spans="1:30">
      <c r="A514" s="95" t="s">
        <v>896</v>
      </c>
      <c r="B514" s="261">
        <f ca="1">IF(A514&lt;&gt;"", IF(B514&lt;&gt;0, B514, NOW()), "")</f>
        <v>46118.584781597223</v>
      </c>
      <c r="C514" s="28">
        <v>90</v>
      </c>
      <c r="D514" s="291" t="s">
        <v>897</v>
      </c>
      <c r="E514" s="268" t="str">
        <f>CONCATENATE(A514,"_",D514)</f>
        <v>MS_290326_002_V071</v>
      </c>
      <c r="F514" s="28" t="s">
        <v>540</v>
      </c>
      <c r="G514" s="270" t="s">
        <v>898</v>
      </c>
      <c r="H514" s="29">
        <v>90</v>
      </c>
      <c r="I514" s="271">
        <f ca="1">IF(H514&lt;&gt;"", IF(I514&lt;&gt;0, I514, NOW()), "")</f>
        <v>46119.58191828704</v>
      </c>
      <c r="J514" s="30" t="s">
        <v>469</v>
      </c>
      <c r="K514" s="214">
        <f ca="1">IF(J514&lt;&gt;"", IF(K514&lt;&gt;0, K514, NOW()), "")</f>
        <v>46119.690589467595</v>
      </c>
      <c r="L514" s="30" t="s">
        <v>535</v>
      </c>
    </row>
    <row r="515" spans="1:30">
      <c r="A515" s="95" t="s">
        <v>899</v>
      </c>
      <c r="B515" s="261">
        <f ca="1">IF(A515&lt;&gt;"", IF(B515&lt;&gt;0, B515, NOW()), "")</f>
        <v>46118.6016087963</v>
      </c>
      <c r="C515" s="28">
        <v>90</v>
      </c>
      <c r="D515" s="291" t="s">
        <v>900</v>
      </c>
      <c r="E515" s="268" t="str">
        <f>CONCATENATE(A515,"_",D515)</f>
        <v>MS_290326_003_V072</v>
      </c>
      <c r="F515" s="28" t="s">
        <v>473</v>
      </c>
      <c r="G515" s="270" t="s">
        <v>901</v>
      </c>
      <c r="H515" s="29">
        <v>90</v>
      </c>
      <c r="I515" s="271">
        <f ca="1">IF(H515&lt;&gt;"", IF(I515&lt;&gt;0, I515, NOW()), "")</f>
        <v>46119.626665393516</v>
      </c>
      <c r="J515" s="30" t="s">
        <v>469</v>
      </c>
      <c r="K515" s="214">
        <f ca="1">IF(J515&lt;&gt;"", IF(K515&lt;&gt;0, K515, NOW()), "")</f>
        <v>46120.373666435182</v>
      </c>
      <c r="L515" s="30" t="s">
        <v>535</v>
      </c>
    </row>
    <row r="516" spans="1:30">
      <c r="A516" s="301" t="s">
        <v>902</v>
      </c>
      <c r="B516" s="261">
        <f ca="1">IF(A516&lt;&gt;"", IF(B516&lt;&gt;0, B516, NOW()), "")</f>
        <v>46118.61328229167</v>
      </c>
      <c r="C516" s="28">
        <v>90</v>
      </c>
      <c r="D516" s="291" t="s">
        <v>903</v>
      </c>
      <c r="E516" s="268" t="str">
        <f>CONCATENATE(A516,"_",D516)</f>
        <v>MS_300326_003_V073</v>
      </c>
      <c r="F516" s="28" t="s">
        <v>470</v>
      </c>
      <c r="G516" s="271">
        <f ca="1">IF(F516&lt;&gt;"", IF(G516&lt;&gt;0, G516, NOW()), "")</f>
        <v>46118.69665972222</v>
      </c>
      <c r="H516" s="29">
        <v>90</v>
      </c>
      <c r="I516" s="271">
        <f ca="1">IF(H516&lt;&gt;"", IF(I516&lt;&gt;0, I516, NOW()), "")</f>
        <v>46120.639340162037</v>
      </c>
      <c r="K516" s="215" t="str">
        <f t="shared" ref="K516" ca="1" si="2">IF(J516&lt;&gt;"", IF(K516&lt;&gt;0, K516, NOW()), "")</f>
        <v/>
      </c>
    </row>
    <row r="517" spans="1:30">
      <c r="A517" s="95" t="s">
        <v>904</v>
      </c>
      <c r="B517" s="261" t="s">
        <v>905</v>
      </c>
      <c r="C517" s="28">
        <v>90</v>
      </c>
      <c r="D517" s="291" t="s">
        <v>906</v>
      </c>
      <c r="E517" s="268" t="str">
        <f>CONCATENATE(A517,"_",D517)</f>
        <v>MS_300326_004_V074</v>
      </c>
      <c r="F517" s="28" t="s">
        <v>470</v>
      </c>
      <c r="G517" s="270" t="s">
        <v>907</v>
      </c>
      <c r="H517" s="29">
        <v>90</v>
      </c>
      <c r="I517" s="271">
        <f ca="1">IF(H517&lt;&gt;"", IF(I517&lt;&gt;0, I517, NOW()), "")</f>
        <v>46119.732076504632</v>
      </c>
      <c r="J517" s="30" t="s">
        <v>469</v>
      </c>
      <c r="K517" s="215">
        <f ca="1">IF(J517&lt;&gt;"", IF(K517&lt;&gt;0, K517, NOW()), "")</f>
        <v>46120.443851620374</v>
      </c>
      <c r="L517" s="30" t="s">
        <v>535</v>
      </c>
    </row>
    <row r="518" spans="1:30">
      <c r="A518" s="95" t="s">
        <v>908</v>
      </c>
      <c r="B518" s="261">
        <f ca="1">IF(A518&lt;&gt;"", IF(B518&lt;&gt;0, B518, NOW()), "")</f>
        <v>46118.660132060184</v>
      </c>
      <c r="C518" s="28">
        <v>90</v>
      </c>
      <c r="D518" s="291" t="s">
        <v>909</v>
      </c>
      <c r="E518" s="268" t="str">
        <f>CONCATENATE(A518,"_",D518)</f>
        <v>MS_310326_001_V075</v>
      </c>
      <c r="F518" s="28" t="s">
        <v>540</v>
      </c>
      <c r="G518" s="271">
        <f ca="1">IF(F518&lt;&gt;"", IF(G518&lt;&gt;0, G518, NOW()), "")</f>
        <v>46119.606043055559</v>
      </c>
      <c r="H518" s="29">
        <v>90</v>
      </c>
      <c r="I518" s="271">
        <f ca="1">IF(H518&lt;&gt;"", IF(I518&lt;&gt;0, I518, NOW()), "")</f>
        <v>46120.470840046299</v>
      </c>
      <c r="J518" s="30" t="s">
        <v>469</v>
      </c>
      <c r="K518" s="215">
        <f ca="1">IF(J518&lt;&gt;"", IF(K518&lt;&gt;0, K518, NOW()), "")</f>
        <v>46121.411325462963</v>
      </c>
      <c r="L518" s="30" t="s">
        <v>535</v>
      </c>
    </row>
    <row r="519" spans="1:30">
      <c r="A519" s="95" t="s">
        <v>910</v>
      </c>
      <c r="B519" s="261">
        <f ca="1">IF(A519&lt;&gt;"", IF(B519&lt;&gt;0, B519, NOW()), "")</f>
        <v>46119.461355671294</v>
      </c>
      <c r="C519" s="28">
        <v>90</v>
      </c>
      <c r="D519" s="291" t="s">
        <v>911</v>
      </c>
      <c r="E519" s="268" t="str">
        <f>CONCATENATE(A519,"_",D519)</f>
        <v>MS_300326_001_V076</v>
      </c>
      <c r="F519" s="28" t="s">
        <v>473</v>
      </c>
      <c r="G519" s="271">
        <f ca="1">IF(F519&lt;&gt;"", IF(G519&lt;&gt;0, G519, NOW()), "")</f>
        <v>46119.682895949074</v>
      </c>
      <c r="H519" s="29">
        <v>90</v>
      </c>
      <c r="I519" s="271">
        <f ca="1">IF(H519&lt;&gt;"", IF(I519&lt;&gt;0, I519, NOW()), "")</f>
        <v>46120.639387731484</v>
      </c>
      <c r="J519" s="30" t="s">
        <v>469</v>
      </c>
      <c r="K519" s="214">
        <f ca="1">IF(J519&lt;&gt;"", IF(K519&lt;&gt;0, K519, NOW()), "")</f>
        <v>46121.594887847219</v>
      </c>
      <c r="L519" s="30" t="s">
        <v>535</v>
      </c>
    </row>
    <row r="520" spans="1:30">
      <c r="A520" s="95" t="s">
        <v>912</v>
      </c>
      <c r="B520" s="261">
        <f ca="1">IF(A520&lt;&gt;"", IF(B520&lt;&gt;0, B520, NOW()), "")</f>
        <v>46119.478152314812</v>
      </c>
      <c r="C520" s="28">
        <v>90</v>
      </c>
      <c r="D520" s="291" t="s">
        <v>913</v>
      </c>
      <c r="E520" s="268" t="str">
        <f>CONCATENATE(A520,"_",D520)</f>
        <v>MS_310326_002_V077</v>
      </c>
      <c r="F520" s="28" t="s">
        <v>470</v>
      </c>
      <c r="G520" s="271">
        <f ca="1">IF(F520&lt;&gt;"", IF(G520&lt;&gt;0, G520, NOW()), "")</f>
        <v>46120.624265393519</v>
      </c>
      <c r="H520" s="29">
        <v>90</v>
      </c>
      <c r="I520" s="271" t="s">
        <v>914</v>
      </c>
      <c r="J520" s="30" t="s">
        <v>472</v>
      </c>
      <c r="K520" s="214">
        <f ca="1">IF(J520&lt;&gt;"", IF(K520&lt;&gt;0, K520, NOW()), "")</f>
        <v>46121.598946180558</v>
      </c>
      <c r="L520" s="30" t="s">
        <v>535</v>
      </c>
    </row>
    <row r="521" spans="1:30">
      <c r="A521" s="95" t="s">
        <v>915</v>
      </c>
      <c r="B521" s="261">
        <f ca="1">IF(A521&lt;&gt;"", IF(B521&lt;&gt;0, B521, NOW()), "")</f>
        <v>46120.397055092595</v>
      </c>
      <c r="C521" s="28">
        <v>90</v>
      </c>
      <c r="D521" s="291" t="s">
        <v>916</v>
      </c>
      <c r="E521" s="268" t="str">
        <f>CONCATENATE(A521,"_",D521)</f>
        <v>MS_310326_003_V078</v>
      </c>
      <c r="F521" s="28" t="s">
        <v>540</v>
      </c>
      <c r="G521" s="271">
        <f ca="1">IF(F521&lt;&gt;"", IF(G521&lt;&gt;0, G521, NOW()), "")</f>
        <v>46120.479125694445</v>
      </c>
      <c r="H521" s="29">
        <v>90</v>
      </c>
      <c r="I521" s="271">
        <f ca="1">IF(H521&lt;&gt;"", IF(I521&lt;&gt;0, I521, NOW()), "")</f>
        <v>46121.440330787038</v>
      </c>
      <c r="J521" s="30" t="s">
        <v>469</v>
      </c>
      <c r="K521" s="214">
        <f ca="1">IF(J521&lt;&gt;"", IF(K521&lt;&gt;0, K521, NOW()), "")</f>
        <v>46121.702566782405</v>
      </c>
    </row>
    <row r="522" spans="1:30">
      <c r="A522" s="95" t="s">
        <v>917</v>
      </c>
      <c r="B522" s="261">
        <f ca="1">IF(A522&lt;&gt;"", IF(B522&lt;&gt;0, B522, NOW()), "")</f>
        <v>46120.405302430554</v>
      </c>
      <c r="C522" s="28">
        <v>90</v>
      </c>
      <c r="D522" s="291" t="s">
        <v>918</v>
      </c>
      <c r="E522" s="268" t="str">
        <f>CONCATENATE(A522,"_",D522)</f>
        <v>MS_310326_004_V079</v>
      </c>
      <c r="F522" s="28" t="s">
        <v>540</v>
      </c>
      <c r="G522" s="271">
        <f ca="1">IF(F522&lt;&gt;"", IF(G522&lt;&gt;0, G522, NOW()), "")</f>
        <v>46121.448726041664</v>
      </c>
      <c r="H522" s="29">
        <v>90</v>
      </c>
      <c r="I522" s="271">
        <f ca="1">IF(H522&lt;&gt;"", IF(I522&lt;&gt;0, I522, NOW()), "")</f>
        <v>46122.40730486111</v>
      </c>
      <c r="K522" s="215" t="str">
        <f t="shared" ref="K522" ca="1" si="3">IF(J522&lt;&gt;"", IF(K522&lt;&gt;0, K522, NOW()), "")</f>
        <v/>
      </c>
    </row>
    <row r="523" spans="1:30">
      <c r="A523" s="176" t="s">
        <v>919</v>
      </c>
      <c r="B523" s="262">
        <f ca="1">IF(A523&lt;&gt;"", IF(B523&lt;&gt;0, B523, NOW()), "")</f>
        <v>46120.432035879632</v>
      </c>
      <c r="C523" s="167">
        <v>16</v>
      </c>
      <c r="D523" s="290" t="s">
        <v>920</v>
      </c>
      <c r="E523" s="200" t="str">
        <f>CONCATENATE(A523,"_",D523)</f>
        <v>20260407_mtDNA_315_V080</v>
      </c>
      <c r="F523" s="167" t="s">
        <v>470</v>
      </c>
      <c r="G523" s="293" t="s">
        <v>921</v>
      </c>
      <c r="H523" s="196">
        <v>90</v>
      </c>
      <c r="I523" s="273">
        <f ca="1">IF(H523&lt;&gt;"", IF(I523&lt;&gt;0, I523, NOW()), "")</f>
        <v>46120.47097800926</v>
      </c>
      <c r="J523" s="168" t="s">
        <v>469</v>
      </c>
      <c r="K523" s="219">
        <f ca="1">IF(J523&lt;&gt;"", IF(K523&lt;&gt;0, K523, NOW()), "")</f>
        <v>46120.501952314815</v>
      </c>
      <c r="L523" s="168" t="s">
        <v>535</v>
      </c>
      <c r="M523" s="30">
        <v>15</v>
      </c>
      <c r="AA523" s="298">
        <v>46120</v>
      </c>
    </row>
    <row r="524" spans="1:30">
      <c r="A524" s="95" t="s">
        <v>922</v>
      </c>
      <c r="B524" s="261" t="s">
        <v>923</v>
      </c>
      <c r="C524" s="28">
        <v>90</v>
      </c>
      <c r="D524" s="291" t="s">
        <v>924</v>
      </c>
      <c r="E524" s="268" t="str">
        <f>CONCATENATE(A524,"_",D524)</f>
        <v>MS_300326_002_V081</v>
      </c>
      <c r="F524" s="28" t="s">
        <v>473</v>
      </c>
      <c r="G524" s="270" t="s">
        <v>925</v>
      </c>
      <c r="H524" s="29">
        <v>90</v>
      </c>
      <c r="I524" s="271" t="s">
        <v>926</v>
      </c>
      <c r="J524" s="30" t="s">
        <v>469</v>
      </c>
      <c r="K524" s="214">
        <f ca="1">IF(J524&lt;&gt;"", IF(K524&lt;&gt;0, K524, NOW()), "")</f>
        <v>46122.615093287037</v>
      </c>
      <c r="L524" s="30" t="s">
        <v>535</v>
      </c>
      <c r="AD524" s="125"/>
    </row>
    <row r="525" spans="1:30">
      <c r="A525" s="176" t="s">
        <v>927</v>
      </c>
      <c r="B525" s="262" t="s">
        <v>928</v>
      </c>
      <c r="C525" s="167">
        <v>90</v>
      </c>
      <c r="D525" s="290" t="s">
        <v>929</v>
      </c>
      <c r="E525" s="200" t="str">
        <f>CONCATENATE(A525,"_",D525)</f>
        <v>MS_040426_001_V082</v>
      </c>
      <c r="F525" s="167" t="s">
        <v>491</v>
      </c>
      <c r="G525" s="293" t="s">
        <v>930</v>
      </c>
      <c r="H525" s="196">
        <v>90</v>
      </c>
      <c r="I525" s="273">
        <f ca="1">IF(H525&lt;&gt;"", IF(I525&lt;&gt;0, I525, NOW()), "")</f>
        <v>46120.638281134263</v>
      </c>
      <c r="J525" s="168" t="s">
        <v>469</v>
      </c>
      <c r="K525" s="220">
        <f ca="1">IF(J525&lt;&gt;"", IF(K525&lt;&gt;0, K525, NOW()), "")</f>
        <v>46120.691538541665</v>
      </c>
      <c r="L525" s="168" t="s">
        <v>535</v>
      </c>
      <c r="M525" s="30">
        <v>85</v>
      </c>
      <c r="AA525" s="298">
        <v>46120</v>
      </c>
    </row>
    <row r="526" spans="1:30">
      <c r="A526" s="95" t="s">
        <v>931</v>
      </c>
      <c r="B526" s="261" t="s">
        <v>932</v>
      </c>
      <c r="C526" s="28">
        <v>90</v>
      </c>
      <c r="D526" s="291" t="s">
        <v>933</v>
      </c>
      <c r="E526" s="268" t="str">
        <f>CONCATENATE(A526,"_",D526)</f>
        <v>MS_310326_005_V083</v>
      </c>
      <c r="F526" s="28" t="s">
        <v>470</v>
      </c>
      <c r="G526" s="270">
        <f ca="1">IF(F526&lt;&gt;"", IF(G526&lt;&gt;0, G526, NOW()), "")</f>
        <v>46121.556749537034</v>
      </c>
      <c r="H526" s="29">
        <v>90</v>
      </c>
      <c r="I526" s="271">
        <f ca="1">IF(H526&lt;&gt;"", IF(I526&lt;&gt;0, I526, NOW()), "")</f>
        <v>46121.729228587959</v>
      </c>
      <c r="K526" s="215" t="str">
        <f t="shared" ref="K526" ca="1" si="4">IF(J526&lt;&gt;"", IF(K526&lt;&gt;0, K526, NOW()), "")</f>
        <v/>
      </c>
    </row>
    <row r="527" spans="1:30">
      <c r="A527" s="95" t="s">
        <v>934</v>
      </c>
      <c r="B527" s="261">
        <f ca="1">IF(A527&lt;&gt;"", IF(B527&lt;&gt;0, B527, NOW()), "")</f>
        <v>46121.400962962965</v>
      </c>
      <c r="C527" s="28">
        <v>90</v>
      </c>
      <c r="D527" s="291" t="s">
        <v>935</v>
      </c>
      <c r="E527" s="268" t="str">
        <f>CONCATENATE(A527,"_",D527)</f>
        <v>MS_310326_006_V084</v>
      </c>
      <c r="F527" s="28" t="s">
        <v>473</v>
      </c>
      <c r="G527" s="271">
        <f ca="1">IF(F527&lt;&gt;"", IF(G527&lt;&gt;0, G527, NOW()), "")</f>
        <v>46121.647236111108</v>
      </c>
      <c r="H527" s="29">
        <v>90</v>
      </c>
      <c r="I527" s="271">
        <f ca="1">IF(H527&lt;&gt;"", IF(I527&lt;&gt;0, I527, NOW()), "")</f>
        <v>46122.578342129629</v>
      </c>
      <c r="K527" s="215" t="str">
        <f t="shared" ref="K527" ca="1" si="5">IF(J527&lt;&gt;"", IF(K527&lt;&gt;0, K527, NOW()), "")</f>
        <v/>
      </c>
    </row>
    <row r="528" spans="1:30">
      <c r="A528" s="95" t="s">
        <v>936</v>
      </c>
      <c r="B528" s="261">
        <f ca="1">IF(A528&lt;&gt;"", IF(B528&lt;&gt;0, B528, NOW()), "")</f>
        <v>46121.410035763889</v>
      </c>
      <c r="C528" s="28">
        <v>90</v>
      </c>
      <c r="D528" s="291" t="s">
        <v>937</v>
      </c>
      <c r="E528" s="268" t="str">
        <f>CONCATENATE(A528,"_",D528)</f>
        <v>MS_030426_001_V085</v>
      </c>
      <c r="F528" s="28" t="s">
        <v>470</v>
      </c>
      <c r="G528" s="271">
        <f ca="1">IF(F528&lt;&gt;"", IF(G528&lt;&gt;0, G528, NOW()), "")</f>
        <v>46122.405986111109</v>
      </c>
      <c r="H528" s="29">
        <v>90</v>
      </c>
      <c r="I528" s="271">
        <f ca="1">IF(H528&lt;&gt;"", IF(I528&lt;&gt;0, I528, NOW()), "")</f>
        <v>46122.677174652781</v>
      </c>
      <c r="K528" s="215" t="str">
        <f t="shared" ref="K528" ca="1" si="6">IF(J528&lt;&gt;"", IF(K528&lt;&gt;0, K528, NOW()), "")</f>
        <v/>
      </c>
    </row>
    <row r="529" spans="1:11">
      <c r="A529" s="95" t="s">
        <v>938</v>
      </c>
      <c r="B529" s="261">
        <f ca="1">IF(A529&lt;&gt;"", IF(B529&lt;&gt;0, B529, NOW()), "")</f>
        <v>46121.420284490741</v>
      </c>
      <c r="C529" s="28">
        <v>90</v>
      </c>
      <c r="D529" s="291" t="s">
        <v>939</v>
      </c>
      <c r="E529" s="268" t="str">
        <f>CONCATENATE(A529,"_",D529)</f>
        <v>MS_030426_002_V086</v>
      </c>
      <c r="F529" s="28" t="s">
        <v>540</v>
      </c>
      <c r="G529" s="270">
        <f ca="1">IF(F529&lt;&gt;"", IF(G529&lt;&gt;0, G529, NOW()), "")</f>
        <v>46122.428814467596</v>
      </c>
      <c r="I529" s="271" t="str">
        <f t="shared" ref="I488:I551" ca="1" si="7">IF(H529&lt;&gt;"", IF(I529&lt;&gt;0, I529, NOW()), "")</f>
        <v/>
      </c>
      <c r="K529" s="215" t="str">
        <f t="shared" ref="K529" ca="1" si="8">IF(J529&lt;&gt;"", IF(K529&lt;&gt;0, K529, NOW()), "")</f>
        <v/>
      </c>
    </row>
    <row r="530" spans="1:11">
      <c r="B530" s="261" t="str">
        <f t="shared" ref="B521:B567" ca="1" si="9">IF(A530&lt;&gt;"", IF(B530&lt;&gt;0, B530, NOW()), "")</f>
        <v/>
      </c>
      <c r="C530" s="28">
        <v>90</v>
      </c>
      <c r="D530" s="291" t="s">
        <v>940</v>
      </c>
      <c r="E530" s="268" t="str">
        <f>CONCATENATE(A530,"_",D530)</f>
        <v>_V087</v>
      </c>
      <c r="G530" s="270" t="str">
        <f t="shared" ref="G485:G548" ca="1" si="10">IF(F530&lt;&gt;"", IF(G530&lt;&gt;0, G530, NOW()), "")</f>
        <v/>
      </c>
      <c r="I530" s="271" t="str">
        <f t="shared" ca="1" si="7"/>
        <v/>
      </c>
      <c r="K530" s="215" t="str">
        <f t="shared" ref="K530" ca="1" si="11">IF(J530&lt;&gt;"", IF(K530&lt;&gt;0, K530, NOW()), "")</f>
        <v/>
      </c>
    </row>
    <row r="531" spans="1:11">
      <c r="B531" s="261" t="str">
        <f t="shared" ca="1" si="9"/>
        <v/>
      </c>
      <c r="C531" s="28">
        <v>90</v>
      </c>
      <c r="D531" s="291" t="s">
        <v>941</v>
      </c>
      <c r="E531" s="268" t="str">
        <f>CONCATENATE(A531,"_",D531)</f>
        <v>_V088</v>
      </c>
      <c r="G531" s="270" t="str">
        <f t="shared" ca="1" si="10"/>
        <v/>
      </c>
      <c r="I531" s="271" t="str">
        <f t="shared" ca="1" si="7"/>
        <v/>
      </c>
      <c r="K531" s="215" t="str">
        <f t="shared" ref="K531" ca="1" si="12">IF(J531&lt;&gt;"", IF(K531&lt;&gt;0, K531, NOW()), "")</f>
        <v/>
      </c>
    </row>
    <row r="532" spans="1:11">
      <c r="B532" s="261" t="str">
        <f t="shared" ca="1" si="9"/>
        <v/>
      </c>
      <c r="C532" s="28">
        <v>90</v>
      </c>
      <c r="D532" s="291" t="s">
        <v>942</v>
      </c>
      <c r="E532" s="268" t="str">
        <f>CONCATENATE(A532,"_",D532)</f>
        <v>_V089</v>
      </c>
      <c r="G532" s="270" t="str">
        <f t="shared" ca="1" si="10"/>
        <v/>
      </c>
      <c r="I532" s="271" t="str">
        <f t="shared" ca="1" si="7"/>
        <v/>
      </c>
      <c r="K532" s="215" t="str">
        <f t="shared" ref="K532" ca="1" si="13">IF(J532&lt;&gt;"", IF(K532&lt;&gt;0, K532, NOW()), "")</f>
        <v/>
      </c>
    </row>
    <row r="533" spans="1:11">
      <c r="B533" s="261" t="str">
        <f t="shared" ca="1" si="9"/>
        <v/>
      </c>
      <c r="C533" s="28">
        <v>90</v>
      </c>
      <c r="D533" s="291" t="s">
        <v>943</v>
      </c>
      <c r="E533" s="268" t="str">
        <f>CONCATENATE(A533,"_",D533)</f>
        <v>_V090</v>
      </c>
      <c r="G533" s="270" t="str">
        <f t="shared" ca="1" si="10"/>
        <v/>
      </c>
      <c r="I533" s="271" t="str">
        <f t="shared" ca="1" si="7"/>
        <v/>
      </c>
      <c r="K533" s="215" t="str">
        <f t="shared" ref="K533" ca="1" si="14">IF(J533&lt;&gt;"", IF(K533&lt;&gt;0, K533, NOW()), "")</f>
        <v/>
      </c>
    </row>
    <row r="534" spans="1:11">
      <c r="B534" s="261" t="str">
        <f t="shared" ca="1" si="9"/>
        <v/>
      </c>
      <c r="C534" s="28">
        <v>90</v>
      </c>
      <c r="D534" s="291" t="s">
        <v>944</v>
      </c>
      <c r="E534" s="268" t="str">
        <f>CONCATENATE(A534,"_",D534)</f>
        <v>_V091</v>
      </c>
      <c r="G534" s="270" t="str">
        <f t="shared" ca="1" si="10"/>
        <v/>
      </c>
      <c r="I534" s="271" t="str">
        <f t="shared" ca="1" si="7"/>
        <v/>
      </c>
      <c r="K534" s="215" t="str">
        <f t="shared" ref="K534" ca="1" si="15">IF(J534&lt;&gt;"", IF(K534&lt;&gt;0, K534, NOW()), "")</f>
        <v/>
      </c>
    </row>
    <row r="535" spans="1:11">
      <c r="B535" s="261" t="str">
        <f t="shared" ca="1" si="9"/>
        <v/>
      </c>
      <c r="C535" s="28">
        <v>90</v>
      </c>
      <c r="D535" s="291" t="s">
        <v>945</v>
      </c>
      <c r="E535" s="268" t="str">
        <f>CONCATENATE(A535,"_",D535)</f>
        <v>_V092</v>
      </c>
      <c r="G535" s="270" t="str">
        <f t="shared" ca="1" si="10"/>
        <v/>
      </c>
      <c r="I535" s="271" t="str">
        <f t="shared" ca="1" si="7"/>
        <v/>
      </c>
      <c r="K535" s="215" t="str">
        <f t="shared" ref="K535" ca="1" si="16">IF(J535&lt;&gt;"", IF(K535&lt;&gt;0, K535, NOW()), "")</f>
        <v/>
      </c>
    </row>
    <row r="536" spans="1:11">
      <c r="B536" s="261" t="str">
        <f t="shared" ca="1" si="9"/>
        <v/>
      </c>
      <c r="C536" s="28">
        <v>90</v>
      </c>
      <c r="D536" s="291" t="s">
        <v>946</v>
      </c>
      <c r="E536" s="268" t="str">
        <f>CONCATENATE(A536,"_",D536)</f>
        <v>_V093</v>
      </c>
      <c r="G536" s="270" t="str">
        <f t="shared" ca="1" si="10"/>
        <v/>
      </c>
      <c r="I536" s="271" t="str">
        <f t="shared" ca="1" si="7"/>
        <v/>
      </c>
      <c r="K536" s="215" t="str">
        <f t="shared" ref="K536" ca="1" si="17">IF(J536&lt;&gt;"", IF(K536&lt;&gt;0, K536, NOW()), "")</f>
        <v/>
      </c>
    </row>
    <row r="537" spans="1:11">
      <c r="B537" s="261" t="str">
        <f t="shared" ca="1" si="9"/>
        <v/>
      </c>
      <c r="C537" s="28">
        <v>90</v>
      </c>
      <c r="D537" s="291" t="s">
        <v>947</v>
      </c>
      <c r="E537" s="268" t="str">
        <f>CONCATENATE(A537,"_",D537)</f>
        <v>_V094</v>
      </c>
      <c r="G537" s="270" t="str">
        <f t="shared" ca="1" si="10"/>
        <v/>
      </c>
      <c r="I537" s="271" t="str">
        <f t="shared" ca="1" si="7"/>
        <v/>
      </c>
      <c r="K537" s="215" t="str">
        <f t="shared" ref="K537" ca="1" si="18">IF(J537&lt;&gt;"", IF(K537&lt;&gt;0, K537, NOW()), "")</f>
        <v/>
      </c>
    </row>
    <row r="538" spans="1:11">
      <c r="B538" s="261" t="str">
        <f t="shared" ca="1" si="9"/>
        <v/>
      </c>
      <c r="C538" s="28">
        <v>90</v>
      </c>
      <c r="D538" s="291" t="s">
        <v>948</v>
      </c>
      <c r="E538" s="268" t="str">
        <f>CONCATENATE(A538,"_",D538)</f>
        <v>_V095</v>
      </c>
      <c r="G538" s="270" t="str">
        <f t="shared" ca="1" si="10"/>
        <v/>
      </c>
      <c r="I538" s="271" t="str">
        <f t="shared" ca="1" si="7"/>
        <v/>
      </c>
      <c r="K538" s="215" t="str">
        <f t="shared" ref="K538" ca="1" si="19">IF(J538&lt;&gt;"", IF(K538&lt;&gt;0, K538, NOW()), "")</f>
        <v/>
      </c>
    </row>
    <row r="539" spans="1:11">
      <c r="B539" s="261" t="str">
        <f t="shared" ca="1" si="9"/>
        <v/>
      </c>
      <c r="C539" s="28">
        <v>90</v>
      </c>
      <c r="D539" s="291" t="s">
        <v>949</v>
      </c>
      <c r="E539" s="268" t="str">
        <f>CONCATENATE(A539,"_",D539)</f>
        <v>_V096</v>
      </c>
      <c r="G539" s="270" t="str">
        <f t="shared" ca="1" si="10"/>
        <v/>
      </c>
      <c r="I539" s="271" t="str">
        <f t="shared" ca="1" si="7"/>
        <v/>
      </c>
      <c r="K539" s="215" t="str">
        <f t="shared" ref="K539" ca="1" si="20">IF(J539&lt;&gt;"", IF(K539&lt;&gt;0, K539, NOW()), "")</f>
        <v/>
      </c>
    </row>
    <row r="540" spans="1:11">
      <c r="B540" s="261" t="str">
        <f t="shared" ca="1" si="9"/>
        <v/>
      </c>
      <c r="C540" s="28">
        <v>90</v>
      </c>
      <c r="D540" s="291" t="s">
        <v>950</v>
      </c>
      <c r="E540" s="268" t="str">
        <f>CONCATENATE(A540,"_",D540)</f>
        <v>_V097</v>
      </c>
      <c r="G540" s="270" t="str">
        <f t="shared" ca="1" si="10"/>
        <v/>
      </c>
      <c r="I540" s="271" t="str">
        <f t="shared" ca="1" si="7"/>
        <v/>
      </c>
      <c r="K540" s="215" t="str">
        <f t="shared" ref="K540" ca="1" si="21">IF(J540&lt;&gt;"", IF(K540&lt;&gt;0, K540, NOW()), "")</f>
        <v/>
      </c>
    </row>
    <row r="541" spans="1:11">
      <c r="B541" s="261" t="str">
        <f t="shared" ca="1" si="9"/>
        <v/>
      </c>
      <c r="C541" s="28">
        <v>90</v>
      </c>
      <c r="D541" s="291" t="s">
        <v>951</v>
      </c>
      <c r="E541" s="268" t="str">
        <f>CONCATENATE(A541,"_",D541)</f>
        <v>_V098</v>
      </c>
      <c r="G541" s="270" t="str">
        <f t="shared" ca="1" si="10"/>
        <v/>
      </c>
      <c r="I541" s="271" t="str">
        <f t="shared" ca="1" si="7"/>
        <v/>
      </c>
      <c r="K541" s="215" t="str">
        <f t="shared" ref="K541" ca="1" si="22">IF(J541&lt;&gt;"", IF(K541&lt;&gt;0, K541, NOW()), "")</f>
        <v/>
      </c>
    </row>
    <row r="542" spans="1:11">
      <c r="B542" s="261" t="str">
        <f t="shared" ca="1" si="9"/>
        <v/>
      </c>
      <c r="C542" s="28">
        <v>90</v>
      </c>
      <c r="D542" s="291" t="s">
        <v>952</v>
      </c>
      <c r="E542" s="268" t="str">
        <f>CONCATENATE(A542,"_",D542)</f>
        <v>_V099</v>
      </c>
      <c r="G542" s="271" t="str">
        <f ca="1">IF(F542&lt;&gt;"", IF(G542&lt;&gt;0, G542, NOW()), "")</f>
        <v/>
      </c>
      <c r="I542" s="271" t="str">
        <f ca="1">IF(H542&lt;&gt;"", IF(I542&lt;&gt;0, I542, NOW()), "")</f>
        <v/>
      </c>
      <c r="K542" s="214" t="str">
        <f ca="1">IF(J542&lt;&gt;"", IF(K542&lt;&gt;0, K542, NOW()), "")</f>
        <v/>
      </c>
    </row>
    <row r="543" spans="1:11">
      <c r="B543" s="261" t="str">
        <f t="shared" ca="1" si="9"/>
        <v/>
      </c>
      <c r="D543" s="291"/>
      <c r="E543" s="268"/>
      <c r="G543" s="270" t="str">
        <f t="shared" ca="1" si="10"/>
        <v/>
      </c>
      <c r="I543" s="271" t="str">
        <f t="shared" ca="1" si="7"/>
        <v/>
      </c>
      <c r="K543" s="215" t="str">
        <f t="shared" ref="K543" ca="1" si="23">IF(J543&lt;&gt;"", IF(K543&lt;&gt;0, K543, NOW()), "")</f>
        <v/>
      </c>
    </row>
    <row r="544" spans="1:11">
      <c r="B544" s="261" t="str">
        <f t="shared" ca="1" si="9"/>
        <v/>
      </c>
      <c r="D544" s="291"/>
      <c r="E544" s="268"/>
      <c r="G544" s="270" t="str">
        <f t="shared" ca="1" si="10"/>
        <v/>
      </c>
      <c r="I544" s="271" t="str">
        <f t="shared" ca="1" si="7"/>
        <v/>
      </c>
      <c r="K544" s="215" t="str">
        <f t="shared" ref="K544" ca="1" si="24">IF(J544&lt;&gt;"", IF(K544&lt;&gt;0, K544, NOW()), "")</f>
        <v/>
      </c>
    </row>
    <row r="545" spans="2:11">
      <c r="B545" s="261" t="str">
        <f t="shared" ca="1" si="9"/>
        <v/>
      </c>
      <c r="D545" s="291"/>
      <c r="E545" s="268"/>
      <c r="G545" s="270" t="str">
        <f t="shared" ca="1" si="10"/>
        <v/>
      </c>
      <c r="I545" s="271" t="str">
        <f t="shared" ca="1" si="7"/>
        <v/>
      </c>
      <c r="K545" s="215" t="str">
        <f t="shared" ref="K545" ca="1" si="25">IF(J545&lt;&gt;"", IF(K545&lt;&gt;0, K545, NOW()), "")</f>
        <v/>
      </c>
    </row>
    <row r="546" spans="2:11">
      <c r="B546" s="261" t="str">
        <f t="shared" ca="1" si="9"/>
        <v/>
      </c>
      <c r="D546" s="291"/>
      <c r="E546" s="268"/>
      <c r="G546" s="270" t="str">
        <f t="shared" ca="1" si="10"/>
        <v/>
      </c>
      <c r="I546" s="271" t="str">
        <f t="shared" ca="1" si="7"/>
        <v/>
      </c>
      <c r="K546" s="215" t="str">
        <f t="shared" ref="K546" ca="1" si="26">IF(J546&lt;&gt;"", IF(K546&lt;&gt;0, K546, NOW()), "")</f>
        <v/>
      </c>
    </row>
    <row r="547" spans="2:11">
      <c r="B547" s="261" t="str">
        <f t="shared" ca="1" si="9"/>
        <v/>
      </c>
      <c r="D547" s="291"/>
      <c r="E547" s="268"/>
      <c r="G547" s="270" t="str">
        <f t="shared" ca="1" si="10"/>
        <v/>
      </c>
      <c r="I547" s="271" t="str">
        <f t="shared" ca="1" si="7"/>
        <v/>
      </c>
      <c r="K547" s="215" t="str">
        <f t="shared" ref="K547" ca="1" si="27">IF(J547&lt;&gt;"", IF(K547&lt;&gt;0, K547, NOW()), "")</f>
        <v/>
      </c>
    </row>
    <row r="548" spans="2:11">
      <c r="B548" s="261" t="str">
        <f t="shared" ca="1" si="9"/>
        <v/>
      </c>
      <c r="D548" s="291"/>
      <c r="E548" s="268"/>
      <c r="G548" s="270" t="str">
        <f t="shared" ca="1" si="10"/>
        <v/>
      </c>
      <c r="I548" s="271" t="str">
        <f t="shared" ca="1" si="7"/>
        <v/>
      </c>
      <c r="K548" s="215" t="str">
        <f t="shared" ref="K548" ca="1" si="28">IF(J548&lt;&gt;"", IF(K548&lt;&gt;0, K548, NOW()), "")</f>
        <v/>
      </c>
    </row>
    <row r="549" spans="2:11">
      <c r="B549" s="261" t="str">
        <f t="shared" ca="1" si="9"/>
        <v/>
      </c>
      <c r="D549" s="291"/>
      <c r="E549" s="268"/>
      <c r="G549" s="270" t="str">
        <f t="shared" ref="G549:G612" ca="1" si="29">IF(F549&lt;&gt;"", IF(G549&lt;&gt;0, G549, NOW()), "")</f>
        <v/>
      </c>
      <c r="I549" s="271" t="str">
        <f t="shared" ca="1" si="7"/>
        <v/>
      </c>
      <c r="K549" s="215" t="str">
        <f t="shared" ref="K549" ca="1" si="30">IF(J549&lt;&gt;"", IF(K549&lt;&gt;0, K549, NOW()), "")</f>
        <v/>
      </c>
    </row>
    <row r="550" spans="2:11">
      <c r="B550" s="261" t="str">
        <f t="shared" ca="1" si="9"/>
        <v/>
      </c>
      <c r="D550" s="291"/>
      <c r="E550" s="268"/>
      <c r="G550" s="270" t="str">
        <f t="shared" ca="1" si="29"/>
        <v/>
      </c>
      <c r="I550" s="271" t="str">
        <f t="shared" ca="1" si="7"/>
        <v/>
      </c>
      <c r="K550" s="215" t="str">
        <f t="shared" ref="K550" ca="1" si="31">IF(J550&lt;&gt;"", IF(K550&lt;&gt;0, K550, NOW()), "")</f>
        <v/>
      </c>
    </row>
    <row r="551" spans="2:11">
      <c r="B551" s="261" t="str">
        <f t="shared" ca="1" si="9"/>
        <v/>
      </c>
      <c r="D551" s="291"/>
      <c r="E551" s="268"/>
      <c r="G551" s="270" t="str">
        <f t="shared" ca="1" si="29"/>
        <v/>
      </c>
      <c r="I551" s="271" t="str">
        <f t="shared" ca="1" si="7"/>
        <v/>
      </c>
      <c r="K551" s="215" t="str">
        <f t="shared" ref="K551" ca="1" si="32">IF(J551&lt;&gt;"", IF(K551&lt;&gt;0, K551, NOW()), "")</f>
        <v/>
      </c>
    </row>
    <row r="552" spans="2:11">
      <c r="B552" s="261" t="str">
        <f t="shared" ca="1" si="9"/>
        <v/>
      </c>
      <c r="D552" s="291"/>
      <c r="E552" s="268"/>
      <c r="G552" s="270" t="str">
        <f t="shared" ca="1" si="29"/>
        <v/>
      </c>
      <c r="I552" s="271" t="str">
        <f t="shared" ref="I552:I615" ca="1" si="33">IF(H552&lt;&gt;"", IF(I552&lt;&gt;0, I552, NOW()), "")</f>
        <v/>
      </c>
      <c r="K552" s="215" t="str">
        <f t="shared" ref="K552" ca="1" si="34">IF(J552&lt;&gt;"", IF(K552&lt;&gt;0, K552, NOW()), "")</f>
        <v/>
      </c>
    </row>
    <row r="553" spans="2:11">
      <c r="B553" s="261" t="str">
        <f t="shared" ca="1" si="9"/>
        <v/>
      </c>
      <c r="D553" s="291"/>
      <c r="E553" s="268"/>
      <c r="G553" s="270" t="str">
        <f t="shared" ca="1" si="29"/>
        <v/>
      </c>
      <c r="I553" s="271" t="str">
        <f t="shared" ca="1" si="33"/>
        <v/>
      </c>
      <c r="K553" s="215" t="str">
        <f t="shared" ref="K553" ca="1" si="35">IF(J553&lt;&gt;"", IF(K553&lt;&gt;0, K553, NOW()), "")</f>
        <v/>
      </c>
    </row>
    <row r="554" spans="2:11">
      <c r="B554" s="261" t="str">
        <f t="shared" ca="1" si="9"/>
        <v/>
      </c>
      <c r="D554" s="291"/>
      <c r="E554" s="268"/>
      <c r="G554" s="270" t="str">
        <f t="shared" ca="1" si="29"/>
        <v/>
      </c>
      <c r="I554" s="271" t="str">
        <f t="shared" ca="1" si="33"/>
        <v/>
      </c>
      <c r="K554" s="215" t="str">
        <f t="shared" ref="K554" ca="1" si="36">IF(J554&lt;&gt;"", IF(K554&lt;&gt;0, K554, NOW()), "")</f>
        <v/>
      </c>
    </row>
    <row r="555" spans="2:11">
      <c r="B555" s="261" t="str">
        <f t="shared" ca="1" si="9"/>
        <v/>
      </c>
      <c r="D555" s="291"/>
      <c r="E555" s="268"/>
      <c r="G555" s="270" t="str">
        <f t="shared" ca="1" si="29"/>
        <v/>
      </c>
      <c r="I555" s="271" t="str">
        <f t="shared" ca="1" si="33"/>
        <v/>
      </c>
      <c r="K555" s="215" t="str">
        <f t="shared" ref="K555" ca="1" si="37">IF(J555&lt;&gt;"", IF(K555&lt;&gt;0, K555, NOW()), "")</f>
        <v/>
      </c>
    </row>
    <row r="556" spans="2:11">
      <c r="B556" s="261" t="str">
        <f t="shared" ca="1" si="9"/>
        <v/>
      </c>
      <c r="D556" s="291"/>
      <c r="E556" s="268"/>
      <c r="G556" s="270" t="str">
        <f t="shared" ca="1" si="29"/>
        <v/>
      </c>
      <c r="I556" s="271" t="str">
        <f t="shared" ca="1" si="33"/>
        <v/>
      </c>
      <c r="K556" s="215" t="str">
        <f t="shared" ref="K556" ca="1" si="38">IF(J556&lt;&gt;"", IF(K556&lt;&gt;0, K556, NOW()), "")</f>
        <v/>
      </c>
    </row>
    <row r="557" spans="2:11">
      <c r="B557" s="261" t="str">
        <f t="shared" ca="1" si="9"/>
        <v/>
      </c>
      <c r="D557" s="291"/>
      <c r="E557" s="268"/>
      <c r="G557" s="270" t="str">
        <f t="shared" ca="1" si="29"/>
        <v/>
      </c>
      <c r="I557" s="271" t="str">
        <f t="shared" ca="1" si="33"/>
        <v/>
      </c>
      <c r="K557" s="215" t="str">
        <f t="shared" ref="K557" ca="1" si="39">IF(J557&lt;&gt;"", IF(K557&lt;&gt;0, K557, NOW()), "")</f>
        <v/>
      </c>
    </row>
    <row r="558" spans="2:11">
      <c r="B558" s="261" t="str">
        <f t="shared" ca="1" si="9"/>
        <v/>
      </c>
      <c r="D558" s="291"/>
      <c r="E558" s="268"/>
      <c r="G558" s="270" t="str">
        <f t="shared" ca="1" si="29"/>
        <v/>
      </c>
      <c r="I558" s="271" t="str">
        <f t="shared" ca="1" si="33"/>
        <v/>
      </c>
      <c r="K558" s="215" t="str">
        <f t="shared" ref="K558" ca="1" si="40">IF(J558&lt;&gt;"", IF(K558&lt;&gt;0, K558, NOW()), "")</f>
        <v/>
      </c>
    </row>
    <row r="559" spans="2:11">
      <c r="B559" s="261" t="str">
        <f t="shared" ca="1" si="9"/>
        <v/>
      </c>
      <c r="D559" s="291"/>
      <c r="E559" s="268"/>
      <c r="G559" s="270" t="str">
        <f t="shared" ca="1" si="29"/>
        <v/>
      </c>
      <c r="I559" s="271" t="str">
        <f t="shared" ca="1" si="33"/>
        <v/>
      </c>
      <c r="K559" s="215" t="str">
        <f t="shared" ref="K559" ca="1" si="41">IF(J559&lt;&gt;"", IF(K559&lt;&gt;0, K559, NOW()), "")</f>
        <v/>
      </c>
    </row>
    <row r="560" spans="2:11">
      <c r="B560" s="261" t="str">
        <f t="shared" ca="1" si="9"/>
        <v/>
      </c>
      <c r="D560" s="291"/>
      <c r="E560" s="268"/>
      <c r="G560" s="270" t="str">
        <f t="shared" ca="1" si="29"/>
        <v/>
      </c>
      <c r="I560" s="271" t="str">
        <f t="shared" ca="1" si="33"/>
        <v/>
      </c>
      <c r="K560" s="215" t="str">
        <f t="shared" ref="K560" ca="1" si="42">IF(J560&lt;&gt;"", IF(K560&lt;&gt;0, K560, NOW()), "")</f>
        <v/>
      </c>
    </row>
    <row r="561" spans="2:11">
      <c r="B561" s="261" t="str">
        <f t="shared" ca="1" si="9"/>
        <v/>
      </c>
      <c r="D561" s="291"/>
      <c r="E561" s="268"/>
      <c r="G561" s="270" t="str">
        <f t="shared" ca="1" si="29"/>
        <v/>
      </c>
      <c r="I561" s="271" t="str">
        <f t="shared" ca="1" si="33"/>
        <v/>
      </c>
      <c r="K561" s="215" t="str">
        <f t="shared" ref="K561" ca="1" si="43">IF(J561&lt;&gt;"", IF(K561&lt;&gt;0, K561, NOW()), "")</f>
        <v/>
      </c>
    </row>
    <row r="562" spans="2:11">
      <c r="B562" s="261" t="str">
        <f t="shared" ca="1" si="9"/>
        <v/>
      </c>
      <c r="D562" s="291"/>
      <c r="E562" s="268"/>
      <c r="G562" s="270" t="str">
        <f t="shared" ca="1" si="29"/>
        <v/>
      </c>
      <c r="I562" s="271" t="str">
        <f t="shared" ca="1" si="33"/>
        <v/>
      </c>
      <c r="K562" s="215" t="str">
        <f t="shared" ref="K562" ca="1" si="44">IF(J562&lt;&gt;"", IF(K562&lt;&gt;0, K562, NOW()), "")</f>
        <v/>
      </c>
    </row>
    <row r="563" spans="2:11">
      <c r="B563" s="261" t="str">
        <f t="shared" ca="1" si="9"/>
        <v/>
      </c>
      <c r="D563" s="291"/>
      <c r="E563" s="268"/>
      <c r="G563" s="270" t="str">
        <f t="shared" ca="1" si="29"/>
        <v/>
      </c>
      <c r="I563" s="271" t="str">
        <f t="shared" ca="1" si="33"/>
        <v/>
      </c>
      <c r="K563" s="215" t="str">
        <f t="shared" ref="K563" ca="1" si="45">IF(J563&lt;&gt;"", IF(K563&lt;&gt;0, K563, NOW()), "")</f>
        <v/>
      </c>
    </row>
    <row r="564" spans="2:11">
      <c r="B564" s="261" t="str">
        <f t="shared" ca="1" si="9"/>
        <v/>
      </c>
      <c r="D564" s="291"/>
      <c r="E564" s="268"/>
      <c r="G564" s="270" t="str">
        <f t="shared" ca="1" si="29"/>
        <v/>
      </c>
      <c r="I564" s="271" t="str">
        <f t="shared" ca="1" si="33"/>
        <v/>
      </c>
      <c r="K564" s="215" t="str">
        <f t="shared" ref="K564" ca="1" si="46">IF(J564&lt;&gt;"", IF(K564&lt;&gt;0, K564, NOW()), "")</f>
        <v/>
      </c>
    </row>
    <row r="565" spans="2:11">
      <c r="B565" s="261" t="str">
        <f t="shared" ca="1" si="9"/>
        <v/>
      </c>
      <c r="D565" s="291"/>
      <c r="E565" s="268"/>
      <c r="G565" s="270" t="str">
        <f t="shared" ca="1" si="29"/>
        <v/>
      </c>
      <c r="I565" s="271" t="str">
        <f t="shared" ca="1" si="33"/>
        <v/>
      </c>
      <c r="K565" s="215" t="str">
        <f t="shared" ref="K565" ca="1" si="47">IF(J565&lt;&gt;"", IF(K565&lt;&gt;0, K565, NOW()), "")</f>
        <v/>
      </c>
    </row>
    <row r="566" spans="2:11">
      <c r="B566" s="261" t="str">
        <f t="shared" ca="1" si="9"/>
        <v/>
      </c>
      <c r="D566" s="291"/>
      <c r="E566" s="268"/>
      <c r="G566" s="270" t="str">
        <f t="shared" ca="1" si="29"/>
        <v/>
      </c>
      <c r="I566" s="271" t="str">
        <f t="shared" ca="1" si="33"/>
        <v/>
      </c>
      <c r="K566" s="215" t="str">
        <f t="shared" ref="K566" ca="1" si="48">IF(J566&lt;&gt;"", IF(K566&lt;&gt;0, K566, NOW()), "")</f>
        <v/>
      </c>
    </row>
    <row r="567" spans="2:11">
      <c r="B567" s="261" t="str">
        <f t="shared" ca="1" si="9"/>
        <v/>
      </c>
      <c r="D567" s="291"/>
      <c r="E567" s="268"/>
      <c r="G567" s="270" t="str">
        <f t="shared" ca="1" si="29"/>
        <v/>
      </c>
      <c r="I567" s="271" t="str">
        <f t="shared" ca="1" si="33"/>
        <v/>
      </c>
      <c r="K567" s="215" t="str">
        <f t="shared" ref="K567" ca="1" si="49">IF(J567&lt;&gt;"", IF(K567&lt;&gt;0, K567, NOW()), "")</f>
        <v/>
      </c>
    </row>
    <row r="568" spans="2:11">
      <c r="B568" s="94"/>
      <c r="D568" s="291"/>
      <c r="E568" s="268"/>
      <c r="G568" s="270" t="str">
        <f t="shared" ca="1" si="29"/>
        <v/>
      </c>
      <c r="I568" s="271" t="str">
        <f t="shared" ca="1" si="33"/>
        <v/>
      </c>
      <c r="K568" s="215" t="str">
        <f t="shared" ref="K568" ca="1" si="50">IF(J568&lt;&gt;"", IF(K568&lt;&gt;0, K568, NOW()), "")</f>
        <v/>
      </c>
    </row>
    <row r="569" spans="2:11">
      <c r="B569" s="94"/>
      <c r="D569" s="291"/>
      <c r="E569" s="268"/>
      <c r="G569" s="270" t="str">
        <f t="shared" ca="1" si="29"/>
        <v/>
      </c>
      <c r="I569" s="271" t="str">
        <f t="shared" ca="1" si="33"/>
        <v/>
      </c>
      <c r="K569" s="215" t="str">
        <f t="shared" ref="K569" ca="1" si="51">IF(J569&lt;&gt;"", IF(K569&lt;&gt;0, K569, NOW()), "")</f>
        <v/>
      </c>
    </row>
    <row r="570" spans="2:11">
      <c r="B570" s="94"/>
      <c r="D570" s="291"/>
      <c r="E570" s="268"/>
      <c r="G570" s="270" t="str">
        <f t="shared" ca="1" si="29"/>
        <v/>
      </c>
      <c r="I570" s="271" t="str">
        <f t="shared" ca="1" si="33"/>
        <v/>
      </c>
      <c r="K570" s="215" t="str">
        <f t="shared" ref="K570" ca="1" si="52">IF(J570&lt;&gt;"", IF(K570&lt;&gt;0, K570, NOW()), "")</f>
        <v/>
      </c>
    </row>
    <row r="571" spans="2:11">
      <c r="B571" s="94"/>
      <c r="D571" s="291"/>
      <c r="E571" s="268"/>
      <c r="G571" s="270" t="str">
        <f t="shared" ca="1" si="29"/>
        <v/>
      </c>
      <c r="I571" s="271" t="str">
        <f t="shared" ca="1" si="33"/>
        <v/>
      </c>
      <c r="K571" s="215" t="str">
        <f t="shared" ref="K571" ca="1" si="53">IF(J571&lt;&gt;"", IF(K571&lt;&gt;0, K571, NOW()), "")</f>
        <v/>
      </c>
    </row>
    <row r="572" spans="2:11">
      <c r="B572" s="94"/>
      <c r="D572" s="291"/>
      <c r="E572" s="268"/>
      <c r="G572" s="270" t="str">
        <f t="shared" ca="1" si="29"/>
        <v/>
      </c>
      <c r="I572" s="271" t="str">
        <f t="shared" ca="1" si="33"/>
        <v/>
      </c>
      <c r="K572" s="215" t="str">
        <f t="shared" ref="K572" ca="1" si="54">IF(J572&lt;&gt;"", IF(K572&lt;&gt;0, K572, NOW()), "")</f>
        <v/>
      </c>
    </row>
    <row r="573" spans="2:11">
      <c r="B573" s="94"/>
      <c r="D573" s="291"/>
      <c r="E573" s="268"/>
      <c r="G573" s="270" t="str">
        <f t="shared" ca="1" si="29"/>
        <v/>
      </c>
      <c r="I573" s="271" t="str">
        <f t="shared" ca="1" si="33"/>
        <v/>
      </c>
      <c r="K573" s="215" t="str">
        <f t="shared" ref="K573" ca="1" si="55">IF(J573&lt;&gt;"", IF(K573&lt;&gt;0, K573, NOW()), "")</f>
        <v/>
      </c>
    </row>
    <row r="574" spans="2:11">
      <c r="B574" s="94"/>
      <c r="D574" s="291"/>
      <c r="E574" s="268"/>
      <c r="G574" s="270" t="str">
        <f t="shared" ca="1" si="29"/>
        <v/>
      </c>
      <c r="I574" s="271" t="str">
        <f t="shared" ca="1" si="33"/>
        <v/>
      </c>
      <c r="K574" s="215" t="str">
        <f t="shared" ref="K574" ca="1" si="56">IF(J574&lt;&gt;"", IF(K574&lt;&gt;0, K574, NOW()), "")</f>
        <v/>
      </c>
    </row>
    <row r="575" spans="2:11">
      <c r="B575" s="94"/>
      <c r="D575" s="291"/>
      <c r="E575" s="268"/>
      <c r="G575" s="270" t="str">
        <f t="shared" ca="1" si="29"/>
        <v/>
      </c>
      <c r="I575" s="271" t="str">
        <f t="shared" ca="1" si="33"/>
        <v/>
      </c>
      <c r="K575" s="215" t="str">
        <f t="shared" ref="K575" ca="1" si="57">IF(J575&lt;&gt;"", IF(K575&lt;&gt;0, K575, NOW()), "")</f>
        <v/>
      </c>
    </row>
    <row r="576" spans="2:11">
      <c r="B576" s="94"/>
      <c r="D576" s="291"/>
      <c r="E576" s="268"/>
      <c r="G576" s="270" t="str">
        <f t="shared" ca="1" si="29"/>
        <v/>
      </c>
      <c r="I576" s="271" t="str">
        <f t="shared" ca="1" si="33"/>
        <v/>
      </c>
      <c r="K576" s="215" t="str">
        <f t="shared" ref="K576" ca="1" si="58">IF(J576&lt;&gt;"", IF(K576&lt;&gt;0, K576, NOW()), "")</f>
        <v/>
      </c>
    </row>
    <row r="577" spans="2:11">
      <c r="B577" s="94"/>
      <c r="D577" s="291"/>
      <c r="E577" s="268"/>
      <c r="G577" s="270" t="str">
        <f t="shared" ca="1" si="29"/>
        <v/>
      </c>
      <c r="I577" s="271" t="str">
        <f t="shared" ca="1" si="33"/>
        <v/>
      </c>
      <c r="K577" s="215" t="str">
        <f t="shared" ref="K577" ca="1" si="59">IF(J577&lt;&gt;"", IF(K577&lt;&gt;0, K577, NOW()), "")</f>
        <v/>
      </c>
    </row>
    <row r="578" spans="2:11">
      <c r="B578" s="94"/>
      <c r="D578" s="291"/>
      <c r="E578" s="268"/>
      <c r="G578" s="270" t="str">
        <f t="shared" ca="1" si="29"/>
        <v/>
      </c>
      <c r="I578" s="271" t="str">
        <f t="shared" ca="1" si="33"/>
        <v/>
      </c>
      <c r="K578" s="215" t="str">
        <f t="shared" ref="K578" ca="1" si="60">IF(J578&lt;&gt;"", IF(K578&lt;&gt;0, K578, NOW()), "")</f>
        <v/>
      </c>
    </row>
    <row r="579" spans="2:11">
      <c r="B579" s="94"/>
      <c r="D579" s="291"/>
      <c r="E579" s="268"/>
      <c r="G579" s="270" t="str">
        <f t="shared" ca="1" si="29"/>
        <v/>
      </c>
      <c r="I579" s="271" t="str">
        <f t="shared" ca="1" si="33"/>
        <v/>
      </c>
      <c r="K579" s="215" t="str">
        <f t="shared" ref="K579" ca="1" si="61">IF(J579&lt;&gt;"", IF(K579&lt;&gt;0, K579, NOW()), "")</f>
        <v/>
      </c>
    </row>
    <row r="580" spans="2:11">
      <c r="B580" s="94"/>
      <c r="D580" s="291"/>
      <c r="E580" s="268"/>
      <c r="G580" s="270" t="str">
        <f t="shared" ca="1" si="29"/>
        <v/>
      </c>
      <c r="I580" s="271" t="str">
        <f t="shared" ca="1" si="33"/>
        <v/>
      </c>
      <c r="K580" s="215" t="str">
        <f t="shared" ref="K580" ca="1" si="62">IF(J580&lt;&gt;"", IF(K580&lt;&gt;0, K580, NOW()), "")</f>
        <v/>
      </c>
    </row>
    <row r="581" spans="2:11">
      <c r="B581" s="94"/>
      <c r="D581" s="291"/>
      <c r="E581" s="268"/>
      <c r="G581" s="270" t="str">
        <f t="shared" ca="1" si="29"/>
        <v/>
      </c>
      <c r="I581" s="271" t="str">
        <f t="shared" ca="1" si="33"/>
        <v/>
      </c>
      <c r="K581" s="215" t="str">
        <f t="shared" ref="K581" ca="1" si="63">IF(J581&lt;&gt;"", IF(K581&lt;&gt;0, K581, NOW()), "")</f>
        <v/>
      </c>
    </row>
    <row r="582" spans="2:11">
      <c r="B582" s="94"/>
      <c r="D582" s="291"/>
      <c r="E582" s="268"/>
      <c r="G582" s="270" t="str">
        <f t="shared" ca="1" si="29"/>
        <v/>
      </c>
      <c r="I582" s="271" t="str">
        <f t="shared" ca="1" si="33"/>
        <v/>
      </c>
      <c r="K582" s="215" t="str">
        <f t="shared" ref="K582" ca="1" si="64">IF(J582&lt;&gt;"", IF(K582&lt;&gt;0, K582, NOW()), "")</f>
        <v/>
      </c>
    </row>
    <row r="583" spans="2:11">
      <c r="B583" s="94"/>
      <c r="D583" s="291"/>
      <c r="E583" s="268"/>
      <c r="G583" s="270" t="str">
        <f t="shared" ca="1" si="29"/>
        <v/>
      </c>
      <c r="I583" s="271" t="str">
        <f t="shared" ca="1" si="33"/>
        <v/>
      </c>
      <c r="K583" s="215" t="str">
        <f t="shared" ref="K583" ca="1" si="65">IF(J583&lt;&gt;"", IF(K583&lt;&gt;0, K583, NOW()), "")</f>
        <v/>
      </c>
    </row>
    <row r="584" spans="2:11">
      <c r="B584" s="94"/>
      <c r="D584" s="291"/>
      <c r="E584" s="268"/>
      <c r="G584" s="270" t="str">
        <f t="shared" ca="1" si="29"/>
        <v/>
      </c>
      <c r="I584" s="271" t="str">
        <f t="shared" ca="1" si="33"/>
        <v/>
      </c>
      <c r="K584" s="215" t="str">
        <f t="shared" ref="K584" ca="1" si="66">IF(J584&lt;&gt;"", IF(K584&lt;&gt;0, K584, NOW()), "")</f>
        <v/>
      </c>
    </row>
    <row r="585" spans="2:11">
      <c r="B585" s="94"/>
      <c r="D585" s="291"/>
      <c r="E585" s="268"/>
      <c r="G585" s="270" t="str">
        <f t="shared" ca="1" si="29"/>
        <v/>
      </c>
      <c r="I585" s="271" t="str">
        <f t="shared" ca="1" si="33"/>
        <v/>
      </c>
      <c r="K585" s="215" t="str">
        <f t="shared" ref="K585" ca="1" si="67">IF(J585&lt;&gt;"", IF(K585&lt;&gt;0, K585, NOW()), "")</f>
        <v/>
      </c>
    </row>
    <row r="586" spans="2:11">
      <c r="B586" s="94"/>
      <c r="D586" s="291"/>
      <c r="E586" s="268"/>
      <c r="G586" s="270" t="str">
        <f t="shared" ca="1" si="29"/>
        <v/>
      </c>
      <c r="I586" s="271" t="str">
        <f t="shared" ca="1" si="33"/>
        <v/>
      </c>
      <c r="K586" s="215" t="str">
        <f t="shared" ref="K586" ca="1" si="68">IF(J586&lt;&gt;"", IF(K586&lt;&gt;0, K586, NOW()), "")</f>
        <v/>
      </c>
    </row>
    <row r="587" spans="2:11">
      <c r="B587" s="94"/>
      <c r="D587" s="291"/>
      <c r="E587" s="268"/>
      <c r="G587" s="270" t="str">
        <f t="shared" ca="1" si="29"/>
        <v/>
      </c>
      <c r="I587" s="271" t="str">
        <f t="shared" ca="1" si="33"/>
        <v/>
      </c>
      <c r="K587" s="215" t="str">
        <f t="shared" ref="K587" ca="1" si="69">IF(J587&lt;&gt;"", IF(K587&lt;&gt;0, K587, NOW()), "")</f>
        <v/>
      </c>
    </row>
    <row r="588" spans="2:11">
      <c r="B588" s="94"/>
      <c r="D588" s="291"/>
      <c r="E588" s="268"/>
      <c r="G588" s="270" t="str">
        <f t="shared" ca="1" si="29"/>
        <v/>
      </c>
      <c r="I588" s="271" t="str">
        <f t="shared" ca="1" si="33"/>
        <v/>
      </c>
      <c r="K588" s="215" t="str">
        <f t="shared" ref="K588" ca="1" si="70">IF(J588&lt;&gt;"", IF(K588&lt;&gt;0, K588, NOW()), "")</f>
        <v/>
      </c>
    </row>
    <row r="589" spans="2:11">
      <c r="B589" s="94"/>
      <c r="D589" s="291"/>
      <c r="E589" s="268"/>
      <c r="G589" s="270" t="str">
        <f t="shared" ca="1" si="29"/>
        <v/>
      </c>
      <c r="I589" s="271" t="str">
        <f t="shared" ca="1" si="33"/>
        <v/>
      </c>
      <c r="K589" s="215" t="str">
        <f t="shared" ref="K589" ca="1" si="71">IF(J589&lt;&gt;"", IF(K589&lt;&gt;0, K589, NOW()), "")</f>
        <v/>
      </c>
    </row>
    <row r="590" spans="2:11">
      <c r="B590" s="94"/>
      <c r="D590" s="291"/>
      <c r="E590" s="268"/>
      <c r="G590" s="270" t="str">
        <f t="shared" ca="1" si="29"/>
        <v/>
      </c>
      <c r="I590" s="271" t="str">
        <f t="shared" ca="1" si="33"/>
        <v/>
      </c>
      <c r="K590" s="215" t="str">
        <f t="shared" ref="K590" ca="1" si="72">IF(J590&lt;&gt;"", IF(K590&lt;&gt;0, K590, NOW()), "")</f>
        <v/>
      </c>
    </row>
    <row r="591" spans="2:11">
      <c r="B591" s="94"/>
      <c r="D591" s="291"/>
      <c r="E591" s="268"/>
      <c r="G591" s="270" t="str">
        <f t="shared" ca="1" si="29"/>
        <v/>
      </c>
      <c r="I591" s="271" t="str">
        <f t="shared" ca="1" si="33"/>
        <v/>
      </c>
      <c r="K591" s="215" t="str">
        <f t="shared" ref="K591" ca="1" si="73">IF(J591&lt;&gt;"", IF(K591&lt;&gt;0, K591, NOW()), "")</f>
        <v/>
      </c>
    </row>
    <row r="592" spans="2:11">
      <c r="B592" s="94"/>
      <c r="D592" s="291"/>
      <c r="E592" s="268"/>
      <c r="G592" s="270" t="str">
        <f t="shared" ca="1" si="29"/>
        <v/>
      </c>
      <c r="I592" s="271" t="str">
        <f t="shared" ca="1" si="33"/>
        <v/>
      </c>
      <c r="K592" s="215" t="str">
        <f t="shared" ref="K592" ca="1" si="74">IF(J592&lt;&gt;"", IF(K592&lt;&gt;0, K592, NOW()), "")</f>
        <v/>
      </c>
    </row>
    <row r="593" spans="2:11">
      <c r="B593" s="94"/>
      <c r="D593" s="291"/>
      <c r="E593" s="268"/>
      <c r="G593" s="270" t="str">
        <f t="shared" ca="1" si="29"/>
        <v/>
      </c>
      <c r="I593" s="271" t="str">
        <f t="shared" ca="1" si="33"/>
        <v/>
      </c>
      <c r="K593" s="215" t="str">
        <f t="shared" ref="K593" ca="1" si="75">IF(J593&lt;&gt;"", IF(K593&lt;&gt;0, K593, NOW()), "")</f>
        <v/>
      </c>
    </row>
    <row r="594" spans="2:11">
      <c r="B594" s="94"/>
      <c r="D594" s="291"/>
      <c r="E594" s="268"/>
      <c r="G594" s="270" t="str">
        <f t="shared" ca="1" si="29"/>
        <v/>
      </c>
      <c r="I594" s="271" t="str">
        <f t="shared" ca="1" si="33"/>
        <v/>
      </c>
      <c r="K594" s="215" t="str">
        <f t="shared" ref="K594" ca="1" si="76">IF(J594&lt;&gt;"", IF(K594&lt;&gt;0, K594, NOW()), "")</f>
        <v/>
      </c>
    </row>
    <row r="595" spans="2:11">
      <c r="B595" s="94"/>
      <c r="D595" s="291"/>
      <c r="E595" s="268"/>
      <c r="G595" s="270" t="str">
        <f t="shared" ca="1" si="29"/>
        <v/>
      </c>
      <c r="I595" s="271" t="str">
        <f t="shared" ca="1" si="33"/>
        <v/>
      </c>
      <c r="K595" s="215" t="str">
        <f t="shared" ref="K595" ca="1" si="77">IF(J595&lt;&gt;"", IF(K595&lt;&gt;0, K595, NOW()), "")</f>
        <v/>
      </c>
    </row>
    <row r="596" spans="2:11">
      <c r="B596" s="94"/>
      <c r="D596" s="291"/>
      <c r="E596" s="268"/>
      <c r="G596" s="270" t="str">
        <f t="shared" ca="1" si="29"/>
        <v/>
      </c>
      <c r="I596" s="271" t="str">
        <f t="shared" ca="1" si="33"/>
        <v/>
      </c>
      <c r="K596" s="215" t="str">
        <f t="shared" ref="K596" ca="1" si="78">IF(J596&lt;&gt;"", IF(K596&lt;&gt;0, K596, NOW()), "")</f>
        <v/>
      </c>
    </row>
    <row r="597" spans="2:11">
      <c r="B597" s="94"/>
      <c r="D597" s="291"/>
      <c r="E597" s="268"/>
      <c r="G597" s="270" t="str">
        <f t="shared" ca="1" si="29"/>
        <v/>
      </c>
      <c r="I597" s="271" t="str">
        <f t="shared" ca="1" si="33"/>
        <v/>
      </c>
      <c r="K597" s="215" t="str">
        <f t="shared" ref="K597" ca="1" si="79">IF(J597&lt;&gt;"", IF(K597&lt;&gt;0, K597, NOW()), "")</f>
        <v/>
      </c>
    </row>
    <row r="598" spans="2:11">
      <c r="B598" s="94"/>
      <c r="D598" s="291"/>
      <c r="E598" s="268"/>
      <c r="G598" s="270" t="str">
        <f t="shared" ca="1" si="29"/>
        <v/>
      </c>
      <c r="I598" s="271" t="str">
        <f t="shared" ca="1" si="33"/>
        <v/>
      </c>
      <c r="K598" s="215" t="str">
        <f t="shared" ref="K598" ca="1" si="80">IF(J598&lt;&gt;"", IF(K598&lt;&gt;0, K598, NOW()), "")</f>
        <v/>
      </c>
    </row>
    <row r="599" spans="2:11">
      <c r="B599" s="94"/>
      <c r="D599" s="291"/>
      <c r="E599" s="268"/>
      <c r="G599" s="270" t="str">
        <f t="shared" ca="1" si="29"/>
        <v/>
      </c>
      <c r="I599" s="271" t="str">
        <f t="shared" ca="1" si="33"/>
        <v/>
      </c>
      <c r="K599" s="215" t="str">
        <f t="shared" ref="K599" ca="1" si="81">IF(J599&lt;&gt;"", IF(K599&lt;&gt;0, K599, NOW()), "")</f>
        <v/>
      </c>
    </row>
    <row r="600" spans="2:11">
      <c r="B600" s="94"/>
      <c r="D600" s="291"/>
      <c r="E600" s="268"/>
      <c r="G600" s="270" t="str">
        <f t="shared" ca="1" si="29"/>
        <v/>
      </c>
      <c r="I600" s="271" t="str">
        <f t="shared" ca="1" si="33"/>
        <v/>
      </c>
      <c r="K600" s="215" t="str">
        <f t="shared" ref="K600" ca="1" si="82">IF(J600&lt;&gt;"", IF(K600&lt;&gt;0, K600, NOW()), "")</f>
        <v/>
      </c>
    </row>
    <row r="601" spans="2:11">
      <c r="B601" s="94"/>
      <c r="D601" s="291"/>
      <c r="E601" s="268"/>
      <c r="G601" s="270" t="str">
        <f t="shared" ca="1" si="29"/>
        <v/>
      </c>
      <c r="I601" s="271" t="str">
        <f t="shared" ca="1" si="33"/>
        <v/>
      </c>
      <c r="K601" s="215" t="str">
        <f t="shared" ref="K601" ca="1" si="83">IF(J601&lt;&gt;"", IF(K601&lt;&gt;0, K601, NOW()), "")</f>
        <v/>
      </c>
    </row>
    <row r="602" spans="2:11">
      <c r="B602" s="94"/>
      <c r="D602" s="291"/>
      <c r="E602" s="268"/>
      <c r="G602" s="270" t="str">
        <f t="shared" ca="1" si="29"/>
        <v/>
      </c>
      <c r="I602" s="271" t="str">
        <f t="shared" ca="1" si="33"/>
        <v/>
      </c>
      <c r="K602" s="215" t="str">
        <f t="shared" ref="K602" ca="1" si="84">IF(J602&lt;&gt;"", IF(K602&lt;&gt;0, K602, NOW()), "")</f>
        <v/>
      </c>
    </row>
    <row r="603" spans="2:11">
      <c r="B603" s="94"/>
      <c r="D603" s="291"/>
      <c r="E603" s="268"/>
      <c r="G603" s="270" t="str">
        <f t="shared" ca="1" si="29"/>
        <v/>
      </c>
      <c r="I603" s="271" t="str">
        <f t="shared" ca="1" si="33"/>
        <v/>
      </c>
      <c r="K603" s="215" t="str">
        <f t="shared" ref="K603" ca="1" si="85">IF(J603&lt;&gt;"", IF(K603&lt;&gt;0, K603, NOW()), "")</f>
        <v/>
      </c>
    </row>
    <row r="604" spans="2:11">
      <c r="B604" s="94"/>
      <c r="D604" s="291"/>
      <c r="E604" s="268"/>
      <c r="G604" s="270" t="str">
        <f t="shared" ca="1" si="29"/>
        <v/>
      </c>
      <c r="I604" s="271" t="str">
        <f t="shared" ca="1" si="33"/>
        <v/>
      </c>
      <c r="K604" s="215" t="str">
        <f t="shared" ref="K604" ca="1" si="86">IF(J604&lt;&gt;"", IF(K604&lt;&gt;0, K604, NOW()), "")</f>
        <v/>
      </c>
    </row>
    <row r="605" spans="2:11">
      <c r="B605" s="94"/>
      <c r="D605" s="291"/>
      <c r="E605" s="268"/>
      <c r="G605" s="270" t="str">
        <f t="shared" ca="1" si="29"/>
        <v/>
      </c>
      <c r="I605" s="271" t="str">
        <f t="shared" ca="1" si="33"/>
        <v/>
      </c>
      <c r="K605" s="215" t="str">
        <f t="shared" ref="K605" ca="1" si="87">IF(J605&lt;&gt;"", IF(K605&lt;&gt;0, K605, NOW()), "")</f>
        <v/>
      </c>
    </row>
    <row r="606" spans="2:11">
      <c r="B606" s="94"/>
      <c r="D606" s="291"/>
      <c r="E606" s="268"/>
      <c r="G606" s="270" t="str">
        <f t="shared" ca="1" si="29"/>
        <v/>
      </c>
      <c r="I606" s="271" t="str">
        <f t="shared" ca="1" si="33"/>
        <v/>
      </c>
      <c r="K606" s="215" t="str">
        <f t="shared" ref="K606" ca="1" si="88">IF(J606&lt;&gt;"", IF(K606&lt;&gt;0, K606, NOW()), "")</f>
        <v/>
      </c>
    </row>
    <row r="607" spans="2:11">
      <c r="B607" s="94"/>
      <c r="D607" s="291"/>
      <c r="E607" s="268"/>
      <c r="G607" s="270" t="str">
        <f t="shared" ca="1" si="29"/>
        <v/>
      </c>
      <c r="I607" s="271" t="str">
        <f t="shared" ca="1" si="33"/>
        <v/>
      </c>
      <c r="K607" s="215" t="str">
        <f t="shared" ref="K607" ca="1" si="89">IF(J607&lt;&gt;"", IF(K607&lt;&gt;0, K607, NOW()), "")</f>
        <v/>
      </c>
    </row>
    <row r="608" spans="2:11">
      <c r="B608" s="94"/>
      <c r="D608" s="291"/>
      <c r="E608" s="268"/>
      <c r="G608" s="270" t="str">
        <f t="shared" ca="1" si="29"/>
        <v/>
      </c>
      <c r="I608" s="271" t="str">
        <f t="shared" ca="1" si="33"/>
        <v/>
      </c>
      <c r="K608" s="215" t="str">
        <f t="shared" ref="K608" ca="1" si="90">IF(J608&lt;&gt;"", IF(K608&lt;&gt;0, K608, NOW()), "")</f>
        <v/>
      </c>
    </row>
    <row r="609" spans="2:11">
      <c r="B609" s="94"/>
      <c r="D609" s="291"/>
      <c r="E609" s="268"/>
      <c r="G609" s="270" t="str">
        <f t="shared" ca="1" si="29"/>
        <v/>
      </c>
      <c r="I609" s="271" t="str">
        <f t="shared" ca="1" si="33"/>
        <v/>
      </c>
      <c r="K609" s="215" t="str">
        <f t="shared" ref="K609" ca="1" si="91">IF(J609&lt;&gt;"", IF(K609&lt;&gt;0, K609, NOW()), "")</f>
        <v/>
      </c>
    </row>
    <row r="610" spans="2:11">
      <c r="B610" s="94"/>
      <c r="D610" s="291"/>
      <c r="E610" s="268"/>
      <c r="G610" s="270" t="str">
        <f t="shared" ca="1" si="29"/>
        <v/>
      </c>
      <c r="I610" s="271" t="str">
        <f t="shared" ca="1" si="33"/>
        <v/>
      </c>
      <c r="K610" s="215" t="str">
        <f t="shared" ref="K610" ca="1" si="92">IF(J610&lt;&gt;"", IF(K610&lt;&gt;0, K610, NOW()), "")</f>
        <v/>
      </c>
    </row>
    <row r="611" spans="2:11">
      <c r="B611" s="94"/>
      <c r="D611" s="291"/>
      <c r="E611" s="268"/>
      <c r="G611" s="270" t="str">
        <f t="shared" ca="1" si="29"/>
        <v/>
      </c>
      <c r="I611" s="271" t="str">
        <f t="shared" ca="1" si="33"/>
        <v/>
      </c>
      <c r="K611" s="215" t="str">
        <f t="shared" ref="K611" ca="1" si="93">IF(J611&lt;&gt;"", IF(K611&lt;&gt;0, K611, NOW()), "")</f>
        <v/>
      </c>
    </row>
    <row r="612" spans="2:11">
      <c r="B612" s="94"/>
      <c r="D612" s="291"/>
      <c r="E612" s="268"/>
      <c r="G612" s="270" t="str">
        <f t="shared" ca="1" si="29"/>
        <v/>
      </c>
      <c r="I612" s="271" t="str">
        <f t="shared" ca="1" si="33"/>
        <v/>
      </c>
      <c r="K612" s="215" t="str">
        <f t="shared" ref="K612" ca="1" si="94">IF(J612&lt;&gt;"", IF(K612&lt;&gt;0, K612, NOW()), "")</f>
        <v/>
      </c>
    </row>
    <row r="613" spans="2:11">
      <c r="B613" s="94"/>
      <c r="D613" s="291"/>
      <c r="E613" s="268"/>
      <c r="G613" s="270" t="str">
        <f t="shared" ref="G613:G676" ca="1" si="95">IF(F613&lt;&gt;"", IF(G613&lt;&gt;0, G613, NOW()), "")</f>
        <v/>
      </c>
      <c r="I613" s="271" t="str">
        <f t="shared" ca="1" si="33"/>
        <v/>
      </c>
      <c r="K613" s="215" t="str">
        <f t="shared" ref="K613" ca="1" si="96">IF(J613&lt;&gt;"", IF(K613&lt;&gt;0, K613, NOW()), "")</f>
        <v/>
      </c>
    </row>
    <row r="614" spans="2:11">
      <c r="B614" s="94"/>
      <c r="D614" s="291"/>
      <c r="E614" s="268"/>
      <c r="G614" s="270" t="str">
        <f t="shared" ca="1" si="95"/>
        <v/>
      </c>
      <c r="I614" s="271" t="str">
        <f t="shared" ca="1" si="33"/>
        <v/>
      </c>
      <c r="K614" s="215" t="str">
        <f t="shared" ref="K614" ca="1" si="97">IF(J614&lt;&gt;"", IF(K614&lt;&gt;0, K614, NOW()), "")</f>
        <v/>
      </c>
    </row>
    <row r="615" spans="2:11">
      <c r="B615" s="94"/>
      <c r="D615" s="291"/>
      <c r="E615" s="268"/>
      <c r="G615" s="270" t="str">
        <f t="shared" ca="1" si="95"/>
        <v/>
      </c>
      <c r="I615" s="271" t="str">
        <f t="shared" ca="1" si="33"/>
        <v/>
      </c>
      <c r="K615" s="215" t="str">
        <f t="shared" ref="K615" ca="1" si="98">IF(J615&lt;&gt;"", IF(K615&lt;&gt;0, K615, NOW()), "")</f>
        <v/>
      </c>
    </row>
    <row r="616" spans="2:11">
      <c r="B616" s="94"/>
      <c r="D616" s="291"/>
      <c r="E616" s="268"/>
      <c r="G616" s="270" t="str">
        <f t="shared" ca="1" si="95"/>
        <v/>
      </c>
      <c r="I616" s="271" t="str">
        <f t="shared" ref="I616:I679" ca="1" si="99">IF(H616&lt;&gt;"", IF(I616&lt;&gt;0, I616, NOW()), "")</f>
        <v/>
      </c>
      <c r="K616" s="215" t="str">
        <f t="shared" ref="K616" ca="1" si="100">IF(J616&lt;&gt;"", IF(K616&lt;&gt;0, K616, NOW()), "")</f>
        <v/>
      </c>
    </row>
    <row r="617" spans="2:11">
      <c r="B617" s="94"/>
      <c r="D617" s="291"/>
      <c r="E617" s="268"/>
      <c r="G617" s="270" t="str">
        <f t="shared" ca="1" si="95"/>
        <v/>
      </c>
      <c r="I617" s="271" t="str">
        <f t="shared" ca="1" si="99"/>
        <v/>
      </c>
      <c r="K617" s="215" t="str">
        <f t="shared" ref="K617" ca="1" si="101">IF(J617&lt;&gt;"", IF(K617&lt;&gt;0, K617, NOW()), "")</f>
        <v/>
      </c>
    </row>
    <row r="618" spans="2:11">
      <c r="B618" s="94"/>
      <c r="D618" s="291"/>
      <c r="E618" s="268"/>
      <c r="G618" s="270" t="str">
        <f t="shared" ca="1" si="95"/>
        <v/>
      </c>
      <c r="I618" s="271" t="str">
        <f t="shared" ca="1" si="99"/>
        <v/>
      </c>
      <c r="K618" s="215" t="str">
        <f t="shared" ref="K618" ca="1" si="102">IF(J618&lt;&gt;"", IF(K618&lt;&gt;0, K618, NOW()), "")</f>
        <v/>
      </c>
    </row>
    <row r="619" spans="2:11">
      <c r="B619" s="94"/>
      <c r="D619" s="291"/>
      <c r="E619" s="268"/>
      <c r="G619" s="270" t="str">
        <f t="shared" ca="1" si="95"/>
        <v/>
      </c>
      <c r="I619" s="271" t="str">
        <f t="shared" ca="1" si="99"/>
        <v/>
      </c>
      <c r="K619" s="215" t="str">
        <f t="shared" ref="K619" ca="1" si="103">IF(J619&lt;&gt;"", IF(K619&lt;&gt;0, K619, NOW()), "")</f>
        <v/>
      </c>
    </row>
    <row r="620" spans="2:11">
      <c r="B620" s="94"/>
      <c r="D620" s="291"/>
      <c r="E620" s="268"/>
      <c r="G620" s="270" t="str">
        <f t="shared" ca="1" si="95"/>
        <v/>
      </c>
      <c r="I620" s="271" t="str">
        <f t="shared" ca="1" si="99"/>
        <v/>
      </c>
      <c r="K620" s="215" t="str">
        <f t="shared" ref="K620" ca="1" si="104">IF(J620&lt;&gt;"", IF(K620&lt;&gt;0, K620, NOW()), "")</f>
        <v/>
      </c>
    </row>
    <row r="621" spans="2:11">
      <c r="B621" s="94"/>
      <c r="D621" s="291"/>
      <c r="E621" s="268"/>
      <c r="G621" s="270" t="str">
        <f t="shared" ca="1" si="95"/>
        <v/>
      </c>
      <c r="I621" s="271" t="str">
        <f t="shared" ca="1" si="99"/>
        <v/>
      </c>
      <c r="K621" s="215" t="str">
        <f t="shared" ref="K621" ca="1" si="105">IF(J621&lt;&gt;"", IF(K621&lt;&gt;0, K621, NOW()), "")</f>
        <v/>
      </c>
    </row>
    <row r="622" spans="2:11">
      <c r="B622" s="94"/>
      <c r="D622" s="291"/>
      <c r="E622" s="268"/>
      <c r="G622" s="270" t="str">
        <f t="shared" ca="1" si="95"/>
        <v/>
      </c>
      <c r="I622" s="271" t="str">
        <f t="shared" ca="1" si="99"/>
        <v/>
      </c>
      <c r="K622" s="215" t="str">
        <f t="shared" ref="K622" ca="1" si="106">IF(J622&lt;&gt;"", IF(K622&lt;&gt;0, K622, NOW()), "")</f>
        <v/>
      </c>
    </row>
    <row r="623" spans="2:11">
      <c r="B623" s="94"/>
      <c r="D623" s="291"/>
      <c r="E623" s="268"/>
      <c r="G623" s="270" t="str">
        <f t="shared" ca="1" si="95"/>
        <v/>
      </c>
      <c r="I623" s="271" t="str">
        <f t="shared" ca="1" si="99"/>
        <v/>
      </c>
      <c r="K623" s="215" t="str">
        <f t="shared" ref="K623" ca="1" si="107">IF(J623&lt;&gt;"", IF(K623&lt;&gt;0, K623, NOW()), "")</f>
        <v/>
      </c>
    </row>
    <row r="624" spans="2:11">
      <c r="B624" s="94"/>
      <c r="D624" s="291"/>
      <c r="E624" s="268"/>
      <c r="G624" s="270" t="str">
        <f t="shared" ca="1" si="95"/>
        <v/>
      </c>
      <c r="I624" s="271" t="str">
        <f t="shared" ca="1" si="99"/>
        <v/>
      </c>
      <c r="K624" s="215" t="str">
        <f t="shared" ref="K624" ca="1" si="108">IF(J624&lt;&gt;"", IF(K624&lt;&gt;0, K624, NOW()), "")</f>
        <v/>
      </c>
    </row>
    <row r="625" spans="2:11">
      <c r="B625" s="94"/>
      <c r="D625" s="291"/>
      <c r="E625" s="268"/>
      <c r="G625" s="270" t="str">
        <f t="shared" ca="1" si="95"/>
        <v/>
      </c>
      <c r="I625" s="271" t="str">
        <f t="shared" ca="1" si="99"/>
        <v/>
      </c>
      <c r="K625" s="215" t="str">
        <f t="shared" ref="K625" ca="1" si="109">IF(J625&lt;&gt;"", IF(K625&lt;&gt;0, K625, NOW()), "")</f>
        <v/>
      </c>
    </row>
    <row r="626" spans="2:11">
      <c r="B626" s="94"/>
      <c r="D626" s="291"/>
      <c r="E626" s="268"/>
      <c r="G626" s="270" t="str">
        <f t="shared" ca="1" si="95"/>
        <v/>
      </c>
      <c r="I626" s="271" t="str">
        <f t="shared" ca="1" si="99"/>
        <v/>
      </c>
      <c r="K626" s="215" t="str">
        <f t="shared" ref="K626" ca="1" si="110">IF(J626&lt;&gt;"", IF(K626&lt;&gt;0, K626, NOW()), "")</f>
        <v/>
      </c>
    </row>
    <row r="627" spans="2:11">
      <c r="B627" s="94"/>
      <c r="D627" s="291"/>
      <c r="E627" s="268"/>
      <c r="G627" s="270" t="str">
        <f t="shared" ca="1" si="95"/>
        <v/>
      </c>
      <c r="I627" s="271" t="str">
        <f t="shared" ca="1" si="99"/>
        <v/>
      </c>
      <c r="K627" s="215" t="str">
        <f t="shared" ref="K627" ca="1" si="111">IF(J627&lt;&gt;"", IF(K627&lt;&gt;0, K627, NOW()), "")</f>
        <v/>
      </c>
    </row>
    <row r="628" spans="2:11">
      <c r="B628" s="94"/>
      <c r="D628" s="291"/>
      <c r="E628" s="268"/>
      <c r="G628" s="270" t="str">
        <f t="shared" ca="1" si="95"/>
        <v/>
      </c>
      <c r="I628" s="271" t="str">
        <f t="shared" ca="1" si="99"/>
        <v/>
      </c>
      <c r="K628" s="215" t="str">
        <f t="shared" ref="K628" ca="1" si="112">IF(J628&lt;&gt;"", IF(K628&lt;&gt;0, K628, NOW()), "")</f>
        <v/>
      </c>
    </row>
    <row r="629" spans="2:11">
      <c r="B629" s="94"/>
      <c r="D629" s="291"/>
      <c r="E629" s="268"/>
      <c r="G629" s="270" t="str">
        <f t="shared" ca="1" si="95"/>
        <v/>
      </c>
      <c r="I629" s="271" t="str">
        <f t="shared" ca="1" si="99"/>
        <v/>
      </c>
      <c r="K629" s="215" t="str">
        <f t="shared" ref="K629" ca="1" si="113">IF(J629&lt;&gt;"", IF(K629&lt;&gt;0, K629, NOW()), "")</f>
        <v/>
      </c>
    </row>
    <row r="630" spans="2:11">
      <c r="B630" s="94"/>
      <c r="D630" s="291"/>
      <c r="E630" s="268"/>
      <c r="G630" s="270" t="str">
        <f t="shared" ca="1" si="95"/>
        <v/>
      </c>
      <c r="I630" s="271" t="str">
        <f t="shared" ca="1" si="99"/>
        <v/>
      </c>
      <c r="K630" s="215" t="str">
        <f t="shared" ref="K630" ca="1" si="114">IF(J630&lt;&gt;"", IF(K630&lt;&gt;0, K630, NOW()), "")</f>
        <v/>
      </c>
    </row>
    <row r="631" spans="2:11">
      <c r="B631" s="94"/>
      <c r="D631" s="291"/>
      <c r="E631" s="268"/>
      <c r="G631" s="270" t="str">
        <f t="shared" ca="1" si="95"/>
        <v/>
      </c>
      <c r="I631" s="271" t="str">
        <f t="shared" ca="1" si="99"/>
        <v/>
      </c>
      <c r="K631" s="215" t="str">
        <f t="shared" ref="K631" ca="1" si="115">IF(J631&lt;&gt;"", IF(K631&lt;&gt;0, K631, NOW()), "")</f>
        <v/>
      </c>
    </row>
    <row r="632" spans="2:11">
      <c r="B632" s="94"/>
      <c r="D632" s="291"/>
      <c r="E632" s="268"/>
      <c r="G632" s="270" t="str">
        <f t="shared" ca="1" si="95"/>
        <v/>
      </c>
      <c r="I632" s="271" t="str">
        <f t="shared" ca="1" si="99"/>
        <v/>
      </c>
      <c r="K632" s="215" t="str">
        <f t="shared" ref="K632" ca="1" si="116">IF(J632&lt;&gt;"", IF(K632&lt;&gt;0, K632, NOW()), "")</f>
        <v/>
      </c>
    </row>
    <row r="633" spans="2:11">
      <c r="B633" s="94"/>
      <c r="D633" s="291"/>
      <c r="E633" s="268"/>
      <c r="G633" s="270" t="str">
        <f t="shared" ca="1" si="95"/>
        <v/>
      </c>
      <c r="I633" s="271" t="str">
        <f t="shared" ca="1" si="99"/>
        <v/>
      </c>
      <c r="K633" s="215" t="str">
        <f t="shared" ref="K633" ca="1" si="117">IF(J633&lt;&gt;"", IF(K633&lt;&gt;0, K633, NOW()), "")</f>
        <v/>
      </c>
    </row>
    <row r="634" spans="2:11">
      <c r="B634" s="94"/>
      <c r="D634" s="291"/>
      <c r="E634" s="268"/>
      <c r="G634" s="270" t="str">
        <f t="shared" ca="1" si="95"/>
        <v/>
      </c>
      <c r="I634" s="271" t="str">
        <f t="shared" ca="1" si="99"/>
        <v/>
      </c>
      <c r="K634" s="215" t="str">
        <f t="shared" ref="K634" ca="1" si="118">IF(J634&lt;&gt;"", IF(K634&lt;&gt;0, K634, NOW()), "")</f>
        <v/>
      </c>
    </row>
    <row r="635" spans="2:11">
      <c r="B635" s="94"/>
      <c r="D635" s="291"/>
      <c r="E635" s="268"/>
      <c r="G635" s="270" t="str">
        <f t="shared" ca="1" si="95"/>
        <v/>
      </c>
      <c r="I635" s="271" t="str">
        <f t="shared" ca="1" si="99"/>
        <v/>
      </c>
      <c r="K635" s="215" t="str">
        <f t="shared" ref="K635" ca="1" si="119">IF(J635&lt;&gt;"", IF(K635&lt;&gt;0, K635, NOW()), "")</f>
        <v/>
      </c>
    </row>
    <row r="636" spans="2:11">
      <c r="B636" s="94"/>
      <c r="D636" s="291"/>
      <c r="E636" s="268"/>
      <c r="G636" s="270" t="str">
        <f t="shared" ca="1" si="95"/>
        <v/>
      </c>
      <c r="I636" s="271" t="str">
        <f t="shared" ca="1" si="99"/>
        <v/>
      </c>
      <c r="K636" s="215" t="str">
        <f t="shared" ref="K636" ca="1" si="120">IF(J636&lt;&gt;"", IF(K636&lt;&gt;0, K636, NOW()), "")</f>
        <v/>
      </c>
    </row>
    <row r="637" spans="2:11">
      <c r="B637" s="94"/>
      <c r="D637" s="291"/>
      <c r="E637" s="268"/>
      <c r="G637" s="270" t="str">
        <f t="shared" ca="1" si="95"/>
        <v/>
      </c>
      <c r="I637" s="271" t="str">
        <f t="shared" ca="1" si="99"/>
        <v/>
      </c>
      <c r="K637" s="215" t="str">
        <f t="shared" ref="K637" ca="1" si="121">IF(J637&lt;&gt;"", IF(K637&lt;&gt;0, K637, NOW()), "")</f>
        <v/>
      </c>
    </row>
    <row r="638" spans="2:11">
      <c r="B638" s="94"/>
      <c r="D638" s="291"/>
      <c r="E638" s="268"/>
      <c r="G638" s="270" t="str">
        <f t="shared" ca="1" si="95"/>
        <v/>
      </c>
      <c r="I638" s="271" t="str">
        <f t="shared" ca="1" si="99"/>
        <v/>
      </c>
      <c r="K638" s="215" t="str">
        <f t="shared" ref="K638" ca="1" si="122">IF(J638&lt;&gt;"", IF(K638&lt;&gt;0, K638, NOW()), "")</f>
        <v/>
      </c>
    </row>
    <row r="639" spans="2:11">
      <c r="B639" s="94"/>
      <c r="D639" s="291"/>
      <c r="E639" s="268"/>
      <c r="G639" s="270" t="str">
        <f t="shared" ca="1" si="95"/>
        <v/>
      </c>
      <c r="I639" s="271" t="str">
        <f t="shared" ca="1" si="99"/>
        <v/>
      </c>
      <c r="K639" s="215" t="str">
        <f t="shared" ref="K639" ca="1" si="123">IF(J639&lt;&gt;"", IF(K639&lt;&gt;0, K639, NOW()), "")</f>
        <v/>
      </c>
    </row>
    <row r="640" spans="2:11">
      <c r="B640" s="94"/>
      <c r="D640" s="291"/>
      <c r="E640" s="268"/>
      <c r="G640" s="270" t="str">
        <f t="shared" ca="1" si="95"/>
        <v/>
      </c>
      <c r="I640" s="271" t="str">
        <f t="shared" ca="1" si="99"/>
        <v/>
      </c>
      <c r="K640" s="215" t="str">
        <f t="shared" ref="K640" ca="1" si="124">IF(J640&lt;&gt;"", IF(K640&lt;&gt;0, K640, NOW()), "")</f>
        <v/>
      </c>
    </row>
    <row r="641" spans="2:11">
      <c r="B641" s="94"/>
      <c r="D641" s="291"/>
      <c r="E641" s="268"/>
      <c r="G641" s="270" t="str">
        <f t="shared" ca="1" si="95"/>
        <v/>
      </c>
      <c r="I641" s="271" t="str">
        <f t="shared" ca="1" si="99"/>
        <v/>
      </c>
      <c r="K641" s="215" t="str">
        <f t="shared" ref="K641" ca="1" si="125">IF(J641&lt;&gt;"", IF(K641&lt;&gt;0, K641, NOW()), "")</f>
        <v/>
      </c>
    </row>
    <row r="642" spans="2:11">
      <c r="B642" s="94"/>
      <c r="D642" s="291"/>
      <c r="E642" s="268"/>
      <c r="G642" s="270" t="str">
        <f t="shared" ca="1" si="95"/>
        <v/>
      </c>
      <c r="I642" s="271" t="str">
        <f t="shared" ca="1" si="99"/>
        <v/>
      </c>
      <c r="K642" s="215" t="str">
        <f t="shared" ref="K642" ca="1" si="126">IF(J642&lt;&gt;"", IF(K642&lt;&gt;0, K642, NOW()), "")</f>
        <v/>
      </c>
    </row>
    <row r="643" spans="2:11">
      <c r="B643" s="94"/>
      <c r="D643" s="291"/>
      <c r="E643" s="268"/>
      <c r="G643" s="270" t="str">
        <f t="shared" ca="1" si="95"/>
        <v/>
      </c>
      <c r="I643" s="271" t="str">
        <f t="shared" ca="1" si="99"/>
        <v/>
      </c>
      <c r="K643" s="215" t="str">
        <f t="shared" ref="K643" ca="1" si="127">IF(J643&lt;&gt;"", IF(K643&lt;&gt;0, K643, NOW()), "")</f>
        <v/>
      </c>
    </row>
    <row r="644" spans="2:11">
      <c r="B644" s="94"/>
      <c r="D644" s="291"/>
      <c r="E644" s="268"/>
      <c r="G644" s="270" t="str">
        <f t="shared" ca="1" si="95"/>
        <v/>
      </c>
      <c r="I644" s="271" t="str">
        <f t="shared" ca="1" si="99"/>
        <v/>
      </c>
      <c r="K644" s="215" t="str">
        <f t="shared" ref="K644" ca="1" si="128">IF(J644&lt;&gt;"", IF(K644&lt;&gt;0, K644, NOW()), "")</f>
        <v/>
      </c>
    </row>
    <row r="645" spans="2:11">
      <c r="B645" s="94"/>
      <c r="D645" s="291"/>
      <c r="E645" s="268"/>
      <c r="G645" s="270" t="str">
        <f t="shared" ca="1" si="95"/>
        <v/>
      </c>
      <c r="I645" s="271" t="str">
        <f t="shared" ca="1" si="99"/>
        <v/>
      </c>
      <c r="K645" s="215" t="str">
        <f t="shared" ref="K645" ca="1" si="129">IF(J645&lt;&gt;"", IF(K645&lt;&gt;0, K645, NOW()), "")</f>
        <v/>
      </c>
    </row>
    <row r="646" spans="2:11">
      <c r="B646" s="94"/>
      <c r="D646" s="291"/>
      <c r="E646" s="268"/>
      <c r="G646" s="270" t="str">
        <f t="shared" ca="1" si="95"/>
        <v/>
      </c>
      <c r="I646" s="271" t="str">
        <f t="shared" ca="1" si="99"/>
        <v/>
      </c>
      <c r="K646" s="215" t="str">
        <f t="shared" ref="K646" ca="1" si="130">IF(J646&lt;&gt;"", IF(K646&lt;&gt;0, K646, NOW()), "")</f>
        <v/>
      </c>
    </row>
    <row r="647" spans="2:11">
      <c r="B647" s="94"/>
      <c r="D647" s="291"/>
      <c r="E647" s="268"/>
      <c r="G647" s="270" t="str">
        <f t="shared" ca="1" si="95"/>
        <v/>
      </c>
      <c r="I647" s="271" t="str">
        <f t="shared" ca="1" si="99"/>
        <v/>
      </c>
      <c r="K647" s="215" t="str">
        <f t="shared" ref="K647" ca="1" si="131">IF(J647&lt;&gt;"", IF(K647&lt;&gt;0, K647, NOW()), "")</f>
        <v/>
      </c>
    </row>
    <row r="648" spans="2:11">
      <c r="B648" s="94"/>
      <c r="D648" s="291"/>
      <c r="E648" s="268"/>
      <c r="G648" s="270" t="str">
        <f t="shared" ca="1" si="95"/>
        <v/>
      </c>
      <c r="I648" s="271" t="str">
        <f t="shared" ca="1" si="99"/>
        <v/>
      </c>
      <c r="K648" s="215" t="str">
        <f t="shared" ref="K648" ca="1" si="132">IF(J648&lt;&gt;"", IF(K648&lt;&gt;0, K648, NOW()), "")</f>
        <v/>
      </c>
    </row>
    <row r="649" spans="2:11">
      <c r="B649" s="94"/>
      <c r="D649" s="291"/>
      <c r="E649" s="268"/>
      <c r="G649" s="270" t="str">
        <f t="shared" ca="1" si="95"/>
        <v/>
      </c>
      <c r="I649" s="271" t="str">
        <f t="shared" ca="1" si="99"/>
        <v/>
      </c>
      <c r="K649" s="215" t="str">
        <f t="shared" ref="K649" ca="1" si="133">IF(J649&lt;&gt;"", IF(K649&lt;&gt;0, K649, NOW()), "")</f>
        <v/>
      </c>
    </row>
    <row r="650" spans="2:11">
      <c r="B650" s="94"/>
      <c r="D650" s="291"/>
      <c r="E650" s="268"/>
      <c r="G650" s="270" t="str">
        <f t="shared" ca="1" si="95"/>
        <v/>
      </c>
      <c r="I650" s="271" t="str">
        <f t="shared" ca="1" si="99"/>
        <v/>
      </c>
      <c r="K650" s="215" t="str">
        <f t="shared" ref="K650" ca="1" si="134">IF(J650&lt;&gt;"", IF(K650&lt;&gt;0, K650, NOW()), "")</f>
        <v/>
      </c>
    </row>
    <row r="651" spans="2:11">
      <c r="B651" s="94"/>
      <c r="D651" s="291"/>
      <c r="E651" s="268"/>
      <c r="G651" s="270" t="str">
        <f t="shared" ca="1" si="95"/>
        <v/>
      </c>
      <c r="I651" s="271" t="str">
        <f t="shared" ca="1" si="99"/>
        <v/>
      </c>
      <c r="K651" s="215" t="str">
        <f t="shared" ref="K651" ca="1" si="135">IF(J651&lt;&gt;"", IF(K651&lt;&gt;0, K651, NOW()), "")</f>
        <v/>
      </c>
    </row>
    <row r="652" spans="2:11">
      <c r="B652" s="94"/>
      <c r="D652" s="291"/>
      <c r="E652" s="268"/>
      <c r="G652" s="270" t="str">
        <f t="shared" ca="1" si="95"/>
        <v/>
      </c>
      <c r="I652" s="271" t="str">
        <f t="shared" ca="1" si="99"/>
        <v/>
      </c>
      <c r="K652" s="215" t="str">
        <f t="shared" ref="K652" ca="1" si="136">IF(J652&lt;&gt;"", IF(K652&lt;&gt;0, K652, NOW()), "")</f>
        <v/>
      </c>
    </row>
    <row r="653" spans="2:11">
      <c r="B653" s="94"/>
      <c r="D653" s="291"/>
      <c r="E653" s="268"/>
      <c r="G653" s="270" t="str">
        <f t="shared" ca="1" si="95"/>
        <v/>
      </c>
      <c r="I653" s="271" t="str">
        <f t="shared" ca="1" si="99"/>
        <v/>
      </c>
      <c r="K653" s="215" t="str">
        <f t="shared" ref="K653" ca="1" si="137">IF(J653&lt;&gt;"", IF(K653&lt;&gt;0, K653, NOW()), "")</f>
        <v/>
      </c>
    </row>
    <row r="654" spans="2:11">
      <c r="B654" s="94"/>
      <c r="D654" s="291"/>
      <c r="E654" s="268"/>
      <c r="G654" s="270" t="str">
        <f t="shared" ca="1" si="95"/>
        <v/>
      </c>
      <c r="I654" s="271" t="str">
        <f t="shared" ca="1" si="99"/>
        <v/>
      </c>
      <c r="K654" s="215" t="str">
        <f t="shared" ref="K654" ca="1" si="138">IF(J654&lt;&gt;"", IF(K654&lt;&gt;0, K654, NOW()), "")</f>
        <v/>
      </c>
    </row>
    <row r="655" spans="2:11">
      <c r="B655" s="94"/>
      <c r="D655" s="291"/>
      <c r="E655" s="268"/>
      <c r="G655" s="270" t="str">
        <f t="shared" ca="1" si="95"/>
        <v/>
      </c>
      <c r="I655" s="271" t="str">
        <f t="shared" ca="1" si="99"/>
        <v/>
      </c>
      <c r="K655" s="215" t="str">
        <f t="shared" ref="K655" ca="1" si="139">IF(J655&lt;&gt;"", IF(K655&lt;&gt;0, K655, NOW()), "")</f>
        <v/>
      </c>
    </row>
    <row r="656" spans="2:11">
      <c r="B656" s="94"/>
      <c r="D656" s="291"/>
      <c r="E656" s="268"/>
      <c r="G656" s="270" t="str">
        <f t="shared" ca="1" si="95"/>
        <v/>
      </c>
      <c r="I656" s="271" t="str">
        <f t="shared" ca="1" si="99"/>
        <v/>
      </c>
      <c r="K656" s="215" t="str">
        <f t="shared" ref="K656" ca="1" si="140">IF(J656&lt;&gt;"", IF(K656&lt;&gt;0, K656, NOW()), "")</f>
        <v/>
      </c>
    </row>
    <row r="657" spans="2:11">
      <c r="B657" s="94"/>
      <c r="D657" s="291"/>
      <c r="E657" s="268"/>
      <c r="G657" s="270" t="str">
        <f t="shared" ca="1" si="95"/>
        <v/>
      </c>
      <c r="I657" s="271" t="str">
        <f t="shared" ca="1" si="99"/>
        <v/>
      </c>
      <c r="K657" s="215" t="str">
        <f t="shared" ref="K657" ca="1" si="141">IF(J657&lt;&gt;"", IF(K657&lt;&gt;0, K657, NOW()), "")</f>
        <v/>
      </c>
    </row>
    <row r="658" spans="2:11">
      <c r="B658" s="94"/>
      <c r="D658" s="291"/>
      <c r="E658" s="268"/>
      <c r="G658" s="270" t="str">
        <f t="shared" ca="1" si="95"/>
        <v/>
      </c>
      <c r="I658" s="271" t="str">
        <f t="shared" ca="1" si="99"/>
        <v/>
      </c>
      <c r="K658" s="215" t="str">
        <f t="shared" ref="K658" ca="1" si="142">IF(J658&lt;&gt;"", IF(K658&lt;&gt;0, K658, NOW()), "")</f>
        <v/>
      </c>
    </row>
    <row r="659" spans="2:11">
      <c r="B659" s="94"/>
      <c r="D659" s="291"/>
      <c r="E659" s="268"/>
      <c r="G659" s="270" t="str">
        <f t="shared" ca="1" si="95"/>
        <v/>
      </c>
      <c r="I659" s="271" t="str">
        <f t="shared" ca="1" si="99"/>
        <v/>
      </c>
      <c r="K659" s="215" t="str">
        <f t="shared" ref="K659" ca="1" si="143">IF(J659&lt;&gt;"", IF(K659&lt;&gt;0, K659, NOW()), "")</f>
        <v/>
      </c>
    </row>
    <row r="660" spans="2:11">
      <c r="B660" s="94"/>
      <c r="D660" s="291"/>
      <c r="E660" s="268"/>
      <c r="G660" s="270" t="str">
        <f t="shared" ca="1" si="95"/>
        <v/>
      </c>
      <c r="I660" s="271" t="str">
        <f t="shared" ca="1" si="99"/>
        <v/>
      </c>
      <c r="K660" s="215" t="str">
        <f t="shared" ref="K660" ca="1" si="144">IF(J660&lt;&gt;"", IF(K660&lt;&gt;0, K660, NOW()), "")</f>
        <v/>
      </c>
    </row>
    <row r="661" spans="2:11">
      <c r="B661" s="94"/>
      <c r="D661" s="291"/>
      <c r="E661" s="268"/>
      <c r="G661" s="270" t="str">
        <f t="shared" ca="1" si="95"/>
        <v/>
      </c>
      <c r="I661" s="271" t="str">
        <f t="shared" ca="1" si="99"/>
        <v/>
      </c>
      <c r="K661" s="215" t="str">
        <f t="shared" ref="K661" ca="1" si="145">IF(J661&lt;&gt;"", IF(K661&lt;&gt;0, K661, NOW()), "")</f>
        <v/>
      </c>
    </row>
    <row r="662" spans="2:11">
      <c r="B662" s="94"/>
      <c r="D662" s="291"/>
      <c r="E662" s="268"/>
      <c r="G662" s="270" t="str">
        <f t="shared" ca="1" si="95"/>
        <v/>
      </c>
      <c r="I662" s="271" t="str">
        <f t="shared" ca="1" si="99"/>
        <v/>
      </c>
      <c r="K662" s="215" t="str">
        <f t="shared" ref="K662" ca="1" si="146">IF(J662&lt;&gt;"", IF(K662&lt;&gt;0, K662, NOW()), "")</f>
        <v/>
      </c>
    </row>
    <row r="663" spans="2:11">
      <c r="B663" s="94"/>
      <c r="D663" s="291"/>
      <c r="E663" s="268"/>
      <c r="G663" s="270" t="str">
        <f t="shared" ca="1" si="95"/>
        <v/>
      </c>
      <c r="I663" s="271" t="str">
        <f t="shared" ca="1" si="99"/>
        <v/>
      </c>
      <c r="K663" s="215" t="str">
        <f t="shared" ref="K663" ca="1" si="147">IF(J663&lt;&gt;"", IF(K663&lt;&gt;0, K663, NOW()), "")</f>
        <v/>
      </c>
    </row>
    <row r="664" spans="2:11">
      <c r="B664" s="94"/>
      <c r="D664" s="291"/>
      <c r="E664" s="268"/>
      <c r="G664" s="270" t="str">
        <f t="shared" ca="1" si="95"/>
        <v/>
      </c>
      <c r="I664" s="271" t="str">
        <f t="shared" ca="1" si="99"/>
        <v/>
      </c>
      <c r="K664" s="215" t="str">
        <f t="shared" ref="K664" ca="1" si="148">IF(J664&lt;&gt;"", IF(K664&lt;&gt;0, K664, NOW()), "")</f>
        <v/>
      </c>
    </row>
    <row r="665" spans="2:11">
      <c r="B665" s="94"/>
      <c r="D665" s="291"/>
      <c r="E665" s="268"/>
      <c r="G665" s="270" t="str">
        <f t="shared" ca="1" si="95"/>
        <v/>
      </c>
      <c r="I665" s="271" t="str">
        <f t="shared" ca="1" si="99"/>
        <v/>
      </c>
      <c r="K665" s="215" t="str">
        <f t="shared" ref="K665" ca="1" si="149">IF(J665&lt;&gt;"", IF(K665&lt;&gt;0, K665, NOW()), "")</f>
        <v/>
      </c>
    </row>
    <row r="666" spans="2:11">
      <c r="B666" s="94"/>
      <c r="D666" s="291"/>
      <c r="E666" s="268"/>
      <c r="G666" s="270" t="str">
        <f t="shared" ca="1" si="95"/>
        <v/>
      </c>
      <c r="I666" s="271" t="str">
        <f t="shared" ca="1" si="99"/>
        <v/>
      </c>
      <c r="K666" s="215" t="str">
        <f t="shared" ref="K666" ca="1" si="150">IF(J666&lt;&gt;"", IF(K666&lt;&gt;0, K666, NOW()), "")</f>
        <v/>
      </c>
    </row>
    <row r="667" spans="2:11">
      <c r="B667" s="94"/>
      <c r="D667" s="291"/>
      <c r="E667" s="268"/>
      <c r="G667" s="270" t="str">
        <f t="shared" ca="1" si="95"/>
        <v/>
      </c>
      <c r="I667" s="271" t="str">
        <f t="shared" ca="1" si="99"/>
        <v/>
      </c>
      <c r="K667" s="215" t="str">
        <f t="shared" ref="K667" ca="1" si="151">IF(J667&lt;&gt;"", IF(K667&lt;&gt;0, K667, NOW()), "")</f>
        <v/>
      </c>
    </row>
    <row r="668" spans="2:11">
      <c r="B668" s="94"/>
      <c r="D668" s="291"/>
      <c r="E668" s="268"/>
      <c r="G668" s="270" t="str">
        <f t="shared" ca="1" si="95"/>
        <v/>
      </c>
      <c r="I668" s="271" t="str">
        <f t="shared" ca="1" si="99"/>
        <v/>
      </c>
      <c r="K668" s="215" t="str">
        <f t="shared" ref="K668" ca="1" si="152">IF(J668&lt;&gt;"", IF(K668&lt;&gt;0, K668, NOW()), "")</f>
        <v/>
      </c>
    </row>
    <row r="669" spans="2:11">
      <c r="B669" s="94"/>
      <c r="D669" s="291"/>
      <c r="E669" s="268"/>
      <c r="G669" s="270" t="str">
        <f t="shared" ca="1" si="95"/>
        <v/>
      </c>
      <c r="I669" s="271" t="str">
        <f t="shared" ca="1" si="99"/>
        <v/>
      </c>
      <c r="K669" s="215" t="str">
        <f t="shared" ref="K669" ca="1" si="153">IF(J669&lt;&gt;"", IF(K669&lt;&gt;0, K669, NOW()), "")</f>
        <v/>
      </c>
    </row>
    <row r="670" spans="2:11">
      <c r="B670" s="94"/>
      <c r="D670" s="291"/>
      <c r="E670" s="268"/>
      <c r="G670" s="270" t="str">
        <f t="shared" ca="1" si="95"/>
        <v/>
      </c>
      <c r="I670" s="271" t="str">
        <f t="shared" ca="1" si="99"/>
        <v/>
      </c>
      <c r="K670" s="215" t="str">
        <f t="shared" ref="K670" ca="1" si="154">IF(J670&lt;&gt;"", IF(K670&lt;&gt;0, K670, NOW()), "")</f>
        <v/>
      </c>
    </row>
    <row r="671" spans="2:11">
      <c r="B671" s="94"/>
      <c r="D671" s="291"/>
      <c r="E671" s="268"/>
      <c r="G671" s="270" t="str">
        <f t="shared" ca="1" si="95"/>
        <v/>
      </c>
      <c r="I671" s="271" t="str">
        <f t="shared" ca="1" si="99"/>
        <v/>
      </c>
      <c r="K671" s="215" t="str">
        <f t="shared" ref="K671" ca="1" si="155">IF(J671&lt;&gt;"", IF(K671&lt;&gt;0, K671, NOW()), "")</f>
        <v/>
      </c>
    </row>
    <row r="672" spans="2:11">
      <c r="B672" s="94"/>
      <c r="D672" s="291"/>
      <c r="E672" s="268"/>
      <c r="G672" s="270" t="str">
        <f t="shared" ca="1" si="95"/>
        <v/>
      </c>
      <c r="I672" s="271" t="str">
        <f t="shared" ca="1" si="99"/>
        <v/>
      </c>
      <c r="K672" s="215" t="str">
        <f t="shared" ref="K672" ca="1" si="156">IF(J672&lt;&gt;"", IF(K672&lt;&gt;0, K672, NOW()), "")</f>
        <v/>
      </c>
    </row>
    <row r="673" spans="2:11">
      <c r="B673" s="94"/>
      <c r="D673" s="291"/>
      <c r="E673" s="268"/>
      <c r="G673" s="270" t="str">
        <f t="shared" ca="1" si="95"/>
        <v/>
      </c>
      <c r="I673" s="271" t="str">
        <f t="shared" ca="1" si="99"/>
        <v/>
      </c>
      <c r="K673" s="215" t="str">
        <f t="shared" ref="K673" ca="1" si="157">IF(J673&lt;&gt;"", IF(K673&lt;&gt;0, K673, NOW()), "")</f>
        <v/>
      </c>
    </row>
    <row r="674" spans="2:11">
      <c r="B674" s="94"/>
      <c r="D674" s="291"/>
      <c r="E674" s="268"/>
      <c r="G674" s="270" t="str">
        <f t="shared" ca="1" si="95"/>
        <v/>
      </c>
      <c r="I674" s="271" t="str">
        <f t="shared" ca="1" si="99"/>
        <v/>
      </c>
      <c r="K674" s="215" t="str">
        <f t="shared" ref="K674" ca="1" si="158">IF(J674&lt;&gt;"", IF(K674&lt;&gt;0, K674, NOW()), "")</f>
        <v/>
      </c>
    </row>
    <row r="675" spans="2:11">
      <c r="B675" s="94"/>
      <c r="D675" s="291"/>
      <c r="E675" s="268"/>
      <c r="G675" s="270" t="str">
        <f t="shared" ca="1" si="95"/>
        <v/>
      </c>
      <c r="I675" s="271" t="str">
        <f t="shared" ca="1" si="99"/>
        <v/>
      </c>
      <c r="K675" s="215" t="str">
        <f t="shared" ref="K675" ca="1" si="159">IF(J675&lt;&gt;"", IF(K675&lt;&gt;0, K675, NOW()), "")</f>
        <v/>
      </c>
    </row>
    <row r="676" spans="2:11">
      <c r="B676" s="94"/>
      <c r="D676" s="291"/>
      <c r="E676" s="268"/>
      <c r="G676" s="270" t="str">
        <f t="shared" ca="1" si="95"/>
        <v/>
      </c>
      <c r="I676" s="271" t="str">
        <f t="shared" ca="1" si="99"/>
        <v/>
      </c>
      <c r="K676" s="215" t="str">
        <f t="shared" ref="K676" ca="1" si="160">IF(J676&lt;&gt;"", IF(K676&lt;&gt;0, K676, NOW()), "")</f>
        <v/>
      </c>
    </row>
    <row r="677" spans="2:11">
      <c r="B677" s="94"/>
      <c r="D677" s="291"/>
      <c r="E677" s="268"/>
      <c r="G677" s="270" t="str">
        <f t="shared" ref="G677:G740" ca="1" si="161">IF(F677&lt;&gt;"", IF(G677&lt;&gt;0, G677, NOW()), "")</f>
        <v/>
      </c>
      <c r="I677" s="271" t="str">
        <f t="shared" ca="1" si="99"/>
        <v/>
      </c>
      <c r="K677" s="215" t="str">
        <f t="shared" ref="K677" ca="1" si="162">IF(J677&lt;&gt;"", IF(K677&lt;&gt;0, K677, NOW()), "")</f>
        <v/>
      </c>
    </row>
    <row r="678" spans="2:11">
      <c r="B678" s="94"/>
      <c r="D678" s="291"/>
      <c r="E678" s="268"/>
      <c r="G678" s="270" t="str">
        <f t="shared" ca="1" si="161"/>
        <v/>
      </c>
      <c r="I678" s="271" t="str">
        <f t="shared" ca="1" si="99"/>
        <v/>
      </c>
      <c r="K678" s="215" t="str">
        <f t="shared" ref="K678" ca="1" si="163">IF(J678&lt;&gt;"", IF(K678&lt;&gt;0, K678, NOW()), "")</f>
        <v/>
      </c>
    </row>
    <row r="679" spans="2:11">
      <c r="B679" s="94"/>
      <c r="D679" s="291"/>
      <c r="E679" s="268"/>
      <c r="G679" s="270" t="str">
        <f t="shared" ca="1" si="161"/>
        <v/>
      </c>
      <c r="I679" s="271" t="str">
        <f t="shared" ca="1" si="99"/>
        <v/>
      </c>
      <c r="K679" s="215" t="str">
        <f t="shared" ref="K679" ca="1" si="164">IF(J679&lt;&gt;"", IF(K679&lt;&gt;0, K679, NOW()), "")</f>
        <v/>
      </c>
    </row>
    <row r="680" spans="2:11">
      <c r="B680" s="94"/>
      <c r="D680" s="291"/>
      <c r="E680" s="268"/>
      <c r="G680" s="270" t="str">
        <f t="shared" ca="1" si="161"/>
        <v/>
      </c>
      <c r="I680" s="271" t="str">
        <f t="shared" ref="I680:I743" ca="1" si="165">IF(H680&lt;&gt;"", IF(I680&lt;&gt;0, I680, NOW()), "")</f>
        <v/>
      </c>
      <c r="K680" s="215" t="str">
        <f t="shared" ref="K680" ca="1" si="166">IF(J680&lt;&gt;"", IF(K680&lt;&gt;0, K680, NOW()), "")</f>
        <v/>
      </c>
    </row>
    <row r="681" spans="2:11">
      <c r="B681" s="94"/>
      <c r="D681" s="291"/>
      <c r="E681" s="268"/>
      <c r="G681" s="270" t="str">
        <f t="shared" ca="1" si="161"/>
        <v/>
      </c>
      <c r="I681" s="271" t="str">
        <f t="shared" ca="1" si="165"/>
        <v/>
      </c>
      <c r="K681" s="215" t="str">
        <f t="shared" ref="K681" ca="1" si="167">IF(J681&lt;&gt;"", IF(K681&lt;&gt;0, K681, NOW()), "")</f>
        <v/>
      </c>
    </row>
    <row r="682" spans="2:11">
      <c r="B682" s="94"/>
      <c r="D682" s="291"/>
      <c r="E682" s="268"/>
      <c r="G682" s="270" t="str">
        <f t="shared" ca="1" si="161"/>
        <v/>
      </c>
      <c r="I682" s="271" t="str">
        <f t="shared" ca="1" si="165"/>
        <v/>
      </c>
      <c r="K682" s="215" t="str">
        <f t="shared" ref="K682" ca="1" si="168">IF(J682&lt;&gt;"", IF(K682&lt;&gt;0, K682, NOW()), "")</f>
        <v/>
      </c>
    </row>
    <row r="683" spans="2:11">
      <c r="B683" s="94"/>
      <c r="D683" s="291"/>
      <c r="E683" s="268"/>
      <c r="G683" s="270" t="str">
        <f t="shared" ca="1" si="161"/>
        <v/>
      </c>
      <c r="I683" s="271" t="str">
        <f t="shared" ca="1" si="165"/>
        <v/>
      </c>
      <c r="K683" s="215" t="str">
        <f t="shared" ref="K683" ca="1" si="169">IF(J683&lt;&gt;"", IF(K683&lt;&gt;0, K683, NOW()), "")</f>
        <v/>
      </c>
    </row>
    <row r="684" spans="2:11">
      <c r="B684" s="94"/>
      <c r="D684" s="291"/>
      <c r="E684" s="268"/>
      <c r="G684" s="270" t="str">
        <f t="shared" ca="1" si="161"/>
        <v/>
      </c>
      <c r="I684" s="271" t="str">
        <f t="shared" ca="1" si="165"/>
        <v/>
      </c>
      <c r="K684" s="215" t="str">
        <f t="shared" ref="K684" ca="1" si="170">IF(J684&lt;&gt;"", IF(K684&lt;&gt;0, K684, NOW()), "")</f>
        <v/>
      </c>
    </row>
    <row r="685" spans="2:11">
      <c r="B685" s="94"/>
      <c r="D685" s="291"/>
      <c r="E685" s="268"/>
      <c r="G685" s="270" t="str">
        <f t="shared" ca="1" si="161"/>
        <v/>
      </c>
      <c r="I685" s="271" t="str">
        <f t="shared" ca="1" si="165"/>
        <v/>
      </c>
      <c r="K685" s="215" t="str">
        <f t="shared" ref="K685" ca="1" si="171">IF(J685&lt;&gt;"", IF(K685&lt;&gt;0, K685, NOW()), "")</f>
        <v/>
      </c>
    </row>
    <row r="686" spans="2:11">
      <c r="B686" s="94"/>
      <c r="D686" s="291"/>
      <c r="E686" s="268"/>
      <c r="G686" s="270" t="str">
        <f t="shared" ca="1" si="161"/>
        <v/>
      </c>
      <c r="I686" s="271" t="str">
        <f t="shared" ca="1" si="165"/>
        <v/>
      </c>
      <c r="K686" s="215" t="str">
        <f t="shared" ref="K686" ca="1" si="172">IF(J686&lt;&gt;"", IF(K686&lt;&gt;0, K686, NOW()), "")</f>
        <v/>
      </c>
    </row>
    <row r="687" spans="2:11">
      <c r="B687" s="94"/>
      <c r="D687" s="291"/>
      <c r="E687" s="268"/>
      <c r="G687" s="270" t="str">
        <f t="shared" ca="1" si="161"/>
        <v/>
      </c>
      <c r="I687" s="271" t="str">
        <f t="shared" ca="1" si="165"/>
        <v/>
      </c>
      <c r="K687" s="215" t="str">
        <f t="shared" ref="K687" ca="1" si="173">IF(J687&lt;&gt;"", IF(K687&lt;&gt;0, K687, NOW()), "")</f>
        <v/>
      </c>
    </row>
    <row r="688" spans="2:11">
      <c r="B688" s="94"/>
      <c r="D688" s="291"/>
      <c r="E688" s="268"/>
      <c r="G688" s="270" t="str">
        <f t="shared" ca="1" si="161"/>
        <v/>
      </c>
      <c r="I688" s="271" t="str">
        <f t="shared" ca="1" si="165"/>
        <v/>
      </c>
      <c r="K688" s="215" t="str">
        <f t="shared" ref="K688" ca="1" si="174">IF(J688&lt;&gt;"", IF(K688&lt;&gt;0, K688, NOW()), "")</f>
        <v/>
      </c>
    </row>
    <row r="689" spans="2:11">
      <c r="B689" s="94"/>
      <c r="D689" s="291"/>
      <c r="E689" s="268"/>
      <c r="G689" s="270" t="str">
        <f t="shared" ca="1" si="161"/>
        <v/>
      </c>
      <c r="I689" s="271" t="str">
        <f t="shared" ca="1" si="165"/>
        <v/>
      </c>
      <c r="K689" s="215" t="str">
        <f t="shared" ref="K689" ca="1" si="175">IF(J689&lt;&gt;"", IF(K689&lt;&gt;0, K689, NOW()), "")</f>
        <v/>
      </c>
    </row>
    <row r="690" spans="2:11">
      <c r="B690" s="94"/>
      <c r="D690" s="291"/>
      <c r="E690" s="268"/>
      <c r="G690" s="270" t="str">
        <f t="shared" ca="1" si="161"/>
        <v/>
      </c>
      <c r="I690" s="271" t="str">
        <f t="shared" ca="1" si="165"/>
        <v/>
      </c>
      <c r="K690" s="215" t="str">
        <f t="shared" ref="K690" ca="1" si="176">IF(J690&lt;&gt;"", IF(K690&lt;&gt;0, K690, NOW()), "")</f>
        <v/>
      </c>
    </row>
    <row r="691" spans="2:11">
      <c r="B691" s="94"/>
      <c r="D691" s="291"/>
      <c r="E691" s="268"/>
      <c r="G691" s="270" t="str">
        <f t="shared" ca="1" si="161"/>
        <v/>
      </c>
      <c r="I691" s="271" t="str">
        <f t="shared" ca="1" si="165"/>
        <v/>
      </c>
      <c r="K691" s="215" t="str">
        <f t="shared" ref="K691" ca="1" si="177">IF(J691&lt;&gt;"", IF(K691&lt;&gt;0, K691, NOW()), "")</f>
        <v/>
      </c>
    </row>
    <row r="692" spans="2:11">
      <c r="B692" s="94"/>
      <c r="D692" s="291"/>
      <c r="E692" s="268"/>
      <c r="G692" s="270" t="str">
        <f t="shared" ca="1" si="161"/>
        <v/>
      </c>
      <c r="I692" s="271" t="str">
        <f t="shared" ca="1" si="165"/>
        <v/>
      </c>
      <c r="K692" s="215" t="str">
        <f t="shared" ref="K692" ca="1" si="178">IF(J692&lt;&gt;"", IF(K692&lt;&gt;0, K692, NOW()), "")</f>
        <v/>
      </c>
    </row>
    <row r="693" spans="2:11">
      <c r="B693" s="94"/>
      <c r="D693" s="291"/>
      <c r="E693" s="268"/>
      <c r="G693" s="270" t="str">
        <f t="shared" ca="1" si="161"/>
        <v/>
      </c>
      <c r="I693" s="271" t="str">
        <f t="shared" ca="1" si="165"/>
        <v/>
      </c>
      <c r="K693" s="215" t="str">
        <f t="shared" ref="K693" ca="1" si="179">IF(J693&lt;&gt;"", IF(K693&lt;&gt;0, K693, NOW()), "")</f>
        <v/>
      </c>
    </row>
    <row r="694" spans="2:11">
      <c r="B694" s="94"/>
      <c r="D694" s="291"/>
      <c r="E694" s="268"/>
      <c r="G694" s="270" t="str">
        <f t="shared" ca="1" si="161"/>
        <v/>
      </c>
      <c r="I694" s="271" t="str">
        <f t="shared" ca="1" si="165"/>
        <v/>
      </c>
      <c r="K694" s="215" t="str">
        <f t="shared" ref="K694" ca="1" si="180">IF(J694&lt;&gt;"", IF(K694&lt;&gt;0, K694, NOW()), "")</f>
        <v/>
      </c>
    </row>
    <row r="695" spans="2:11">
      <c r="B695" s="94"/>
      <c r="D695" s="291"/>
      <c r="E695" s="268"/>
      <c r="G695" s="270" t="str">
        <f t="shared" ca="1" si="161"/>
        <v/>
      </c>
      <c r="I695" s="271" t="str">
        <f t="shared" ca="1" si="165"/>
        <v/>
      </c>
      <c r="K695" s="215" t="str">
        <f t="shared" ref="K695" ca="1" si="181">IF(J695&lt;&gt;"", IF(K695&lt;&gt;0, K695, NOW()), "")</f>
        <v/>
      </c>
    </row>
    <row r="696" spans="2:11">
      <c r="B696" s="94"/>
      <c r="D696" s="291"/>
      <c r="E696" s="268"/>
      <c r="G696" s="270" t="str">
        <f t="shared" ca="1" si="161"/>
        <v/>
      </c>
      <c r="I696" s="271" t="str">
        <f t="shared" ca="1" si="165"/>
        <v/>
      </c>
      <c r="K696" s="215" t="str">
        <f t="shared" ref="K696" ca="1" si="182">IF(J696&lt;&gt;"", IF(K696&lt;&gt;0, K696, NOW()), "")</f>
        <v/>
      </c>
    </row>
    <row r="697" spans="2:11">
      <c r="B697" s="94"/>
      <c r="D697" s="291"/>
      <c r="E697" s="268"/>
      <c r="G697" s="270" t="str">
        <f t="shared" ca="1" si="161"/>
        <v/>
      </c>
      <c r="I697" s="271" t="str">
        <f t="shared" ca="1" si="165"/>
        <v/>
      </c>
      <c r="K697" s="215" t="str">
        <f t="shared" ref="K697" ca="1" si="183">IF(J697&lt;&gt;"", IF(K697&lt;&gt;0, K697, NOW()), "")</f>
        <v/>
      </c>
    </row>
    <row r="698" spans="2:11">
      <c r="B698" s="94"/>
      <c r="D698" s="291"/>
      <c r="E698" s="268"/>
      <c r="G698" s="270" t="str">
        <f t="shared" ca="1" si="161"/>
        <v/>
      </c>
      <c r="I698" s="271" t="str">
        <f t="shared" ca="1" si="165"/>
        <v/>
      </c>
      <c r="K698" s="215" t="str">
        <f t="shared" ref="K698" ca="1" si="184">IF(J698&lt;&gt;"", IF(K698&lt;&gt;0, K698, NOW()), "")</f>
        <v/>
      </c>
    </row>
    <row r="699" spans="2:11">
      <c r="B699" s="94"/>
      <c r="D699" s="291"/>
      <c r="E699" s="268"/>
      <c r="G699" s="270" t="str">
        <f t="shared" ca="1" si="161"/>
        <v/>
      </c>
      <c r="I699" s="271" t="str">
        <f t="shared" ca="1" si="165"/>
        <v/>
      </c>
      <c r="K699" s="215" t="str">
        <f t="shared" ref="K699" ca="1" si="185">IF(J699&lt;&gt;"", IF(K699&lt;&gt;0, K699, NOW()), "")</f>
        <v/>
      </c>
    </row>
    <row r="700" spans="2:11">
      <c r="B700" s="94"/>
      <c r="D700" s="291"/>
      <c r="E700" s="268"/>
      <c r="G700" s="270" t="str">
        <f t="shared" ca="1" si="161"/>
        <v/>
      </c>
      <c r="I700" s="271" t="str">
        <f t="shared" ca="1" si="165"/>
        <v/>
      </c>
      <c r="K700" s="215" t="str">
        <f t="shared" ref="K700" ca="1" si="186">IF(J700&lt;&gt;"", IF(K700&lt;&gt;0, K700, NOW()), "")</f>
        <v/>
      </c>
    </row>
    <row r="701" spans="2:11">
      <c r="B701" s="94"/>
      <c r="D701" s="291"/>
      <c r="E701" s="268"/>
      <c r="G701" s="270" t="str">
        <f t="shared" ca="1" si="161"/>
        <v/>
      </c>
      <c r="I701" s="271" t="str">
        <f t="shared" ca="1" si="165"/>
        <v/>
      </c>
      <c r="K701" s="215" t="str">
        <f t="shared" ref="K701" ca="1" si="187">IF(J701&lt;&gt;"", IF(K701&lt;&gt;0, K701, NOW()), "")</f>
        <v/>
      </c>
    </row>
    <row r="702" spans="2:11">
      <c r="B702" s="94"/>
      <c r="D702" s="291"/>
      <c r="E702" s="268"/>
      <c r="G702" s="270" t="str">
        <f t="shared" ca="1" si="161"/>
        <v/>
      </c>
      <c r="I702" s="271" t="str">
        <f t="shared" ca="1" si="165"/>
        <v/>
      </c>
      <c r="K702" s="215" t="str">
        <f t="shared" ref="K702" ca="1" si="188">IF(J702&lt;&gt;"", IF(K702&lt;&gt;0, K702, NOW()), "")</f>
        <v/>
      </c>
    </row>
    <row r="703" spans="2:11">
      <c r="B703" s="94"/>
      <c r="D703" s="291"/>
      <c r="E703" s="268"/>
      <c r="G703" s="270" t="str">
        <f t="shared" ca="1" si="161"/>
        <v/>
      </c>
      <c r="I703" s="271" t="str">
        <f t="shared" ca="1" si="165"/>
        <v/>
      </c>
      <c r="K703" s="215" t="str">
        <f t="shared" ref="K703" ca="1" si="189">IF(J703&lt;&gt;"", IF(K703&lt;&gt;0, K703, NOW()), "")</f>
        <v/>
      </c>
    </row>
    <row r="704" spans="2:11">
      <c r="B704" s="94"/>
      <c r="D704" s="291"/>
      <c r="E704" s="268"/>
      <c r="G704" s="270" t="str">
        <f t="shared" ca="1" si="161"/>
        <v/>
      </c>
      <c r="I704" s="271" t="str">
        <f t="shared" ca="1" si="165"/>
        <v/>
      </c>
      <c r="K704" s="215" t="str">
        <f t="shared" ref="K704" ca="1" si="190">IF(J704&lt;&gt;"", IF(K704&lt;&gt;0, K704, NOW()), "")</f>
        <v/>
      </c>
    </row>
    <row r="705" spans="2:11">
      <c r="B705" s="94"/>
      <c r="D705" s="291"/>
      <c r="E705" s="268"/>
      <c r="G705" s="270" t="str">
        <f t="shared" ca="1" si="161"/>
        <v/>
      </c>
      <c r="I705" s="271" t="str">
        <f t="shared" ca="1" si="165"/>
        <v/>
      </c>
      <c r="K705" s="215" t="str">
        <f t="shared" ref="K705" ca="1" si="191">IF(J705&lt;&gt;"", IF(K705&lt;&gt;0, K705, NOW()), "")</f>
        <v/>
      </c>
    </row>
    <row r="706" spans="2:11">
      <c r="B706" s="94"/>
      <c r="D706" s="291"/>
      <c r="E706" s="268"/>
      <c r="G706" s="270" t="str">
        <f t="shared" ca="1" si="161"/>
        <v/>
      </c>
      <c r="I706" s="271" t="str">
        <f t="shared" ca="1" si="165"/>
        <v/>
      </c>
      <c r="K706" s="215" t="str">
        <f t="shared" ref="K706" ca="1" si="192">IF(J706&lt;&gt;"", IF(K706&lt;&gt;0, K706, NOW()), "")</f>
        <v/>
      </c>
    </row>
    <row r="707" spans="2:11">
      <c r="B707" s="94"/>
      <c r="D707" s="291"/>
      <c r="E707" s="268"/>
      <c r="G707" s="270" t="str">
        <f t="shared" ca="1" si="161"/>
        <v/>
      </c>
      <c r="I707" s="271" t="str">
        <f t="shared" ca="1" si="165"/>
        <v/>
      </c>
      <c r="K707" s="215" t="str">
        <f t="shared" ref="K707" ca="1" si="193">IF(J707&lt;&gt;"", IF(K707&lt;&gt;0, K707, NOW()), "")</f>
        <v/>
      </c>
    </row>
    <row r="708" spans="2:11">
      <c r="B708" s="94"/>
      <c r="D708" s="291"/>
      <c r="E708" s="268"/>
      <c r="G708" s="270" t="str">
        <f t="shared" ca="1" si="161"/>
        <v/>
      </c>
      <c r="I708" s="271" t="str">
        <f t="shared" ca="1" si="165"/>
        <v/>
      </c>
      <c r="K708" s="215" t="str">
        <f t="shared" ref="K708" ca="1" si="194">IF(J708&lt;&gt;"", IF(K708&lt;&gt;0, K708, NOW()), "")</f>
        <v/>
      </c>
    </row>
    <row r="709" spans="2:11">
      <c r="B709" s="94"/>
      <c r="D709" s="291"/>
      <c r="E709" s="268"/>
      <c r="G709" s="270" t="str">
        <f t="shared" ca="1" si="161"/>
        <v/>
      </c>
      <c r="I709" s="271" t="str">
        <f t="shared" ca="1" si="165"/>
        <v/>
      </c>
      <c r="K709" s="215" t="str">
        <f t="shared" ref="K709" ca="1" si="195">IF(J709&lt;&gt;"", IF(K709&lt;&gt;0, K709, NOW()), "")</f>
        <v/>
      </c>
    </row>
    <row r="710" spans="2:11">
      <c r="B710" s="94"/>
      <c r="D710" s="291"/>
      <c r="E710" s="268"/>
      <c r="G710" s="270" t="str">
        <f t="shared" ca="1" si="161"/>
        <v/>
      </c>
      <c r="I710" s="271" t="str">
        <f t="shared" ca="1" si="165"/>
        <v/>
      </c>
      <c r="K710" s="215" t="str">
        <f t="shared" ref="K710" ca="1" si="196">IF(J710&lt;&gt;"", IF(K710&lt;&gt;0, K710, NOW()), "")</f>
        <v/>
      </c>
    </row>
    <row r="711" spans="2:11">
      <c r="B711" s="94"/>
      <c r="D711" s="291"/>
      <c r="E711" s="268"/>
      <c r="G711" s="270" t="str">
        <f t="shared" ca="1" si="161"/>
        <v/>
      </c>
      <c r="I711" s="271" t="str">
        <f t="shared" ca="1" si="165"/>
        <v/>
      </c>
      <c r="K711" s="215" t="str">
        <f t="shared" ref="K711" ca="1" si="197">IF(J711&lt;&gt;"", IF(K711&lt;&gt;0, K711, NOW()), "")</f>
        <v/>
      </c>
    </row>
    <row r="712" spans="2:11">
      <c r="B712" s="94"/>
      <c r="D712" s="291"/>
      <c r="E712" s="268"/>
      <c r="G712" s="270" t="str">
        <f t="shared" ca="1" si="161"/>
        <v/>
      </c>
      <c r="I712" s="271" t="str">
        <f t="shared" ca="1" si="165"/>
        <v/>
      </c>
      <c r="K712" s="215" t="str">
        <f t="shared" ref="K712" ca="1" si="198">IF(J712&lt;&gt;"", IF(K712&lt;&gt;0, K712, NOW()), "")</f>
        <v/>
      </c>
    </row>
    <row r="713" spans="2:11">
      <c r="B713" s="94"/>
      <c r="D713" s="291"/>
      <c r="E713" s="268"/>
      <c r="G713" s="270" t="str">
        <f t="shared" ca="1" si="161"/>
        <v/>
      </c>
      <c r="I713" s="271" t="str">
        <f t="shared" ca="1" si="165"/>
        <v/>
      </c>
      <c r="K713" s="215" t="str">
        <f t="shared" ref="K713" ca="1" si="199">IF(J713&lt;&gt;"", IF(K713&lt;&gt;0, K713, NOW()), "")</f>
        <v/>
      </c>
    </row>
    <row r="714" spans="2:11">
      <c r="B714" s="94"/>
      <c r="D714" s="291"/>
      <c r="E714" s="268"/>
      <c r="G714" s="270" t="str">
        <f t="shared" ca="1" si="161"/>
        <v/>
      </c>
      <c r="I714" s="271" t="str">
        <f t="shared" ca="1" si="165"/>
        <v/>
      </c>
      <c r="K714" s="215" t="str">
        <f t="shared" ref="K714" ca="1" si="200">IF(J714&lt;&gt;"", IF(K714&lt;&gt;0, K714, NOW()), "")</f>
        <v/>
      </c>
    </row>
    <row r="715" spans="2:11">
      <c r="B715" s="94"/>
      <c r="D715" s="291"/>
      <c r="E715" s="268"/>
      <c r="G715" s="270" t="str">
        <f t="shared" ca="1" si="161"/>
        <v/>
      </c>
      <c r="I715" s="271" t="str">
        <f t="shared" ca="1" si="165"/>
        <v/>
      </c>
      <c r="K715" s="215" t="str">
        <f t="shared" ref="K715" ca="1" si="201">IF(J715&lt;&gt;"", IF(K715&lt;&gt;0, K715, NOW()), "")</f>
        <v/>
      </c>
    </row>
    <row r="716" spans="2:11">
      <c r="B716" s="94"/>
      <c r="D716" s="291"/>
      <c r="E716" s="268"/>
      <c r="G716" s="270" t="str">
        <f t="shared" ca="1" si="161"/>
        <v/>
      </c>
      <c r="I716" s="271" t="str">
        <f t="shared" ca="1" si="165"/>
        <v/>
      </c>
      <c r="K716" s="215" t="str">
        <f t="shared" ref="K716" ca="1" si="202">IF(J716&lt;&gt;"", IF(K716&lt;&gt;0, K716, NOW()), "")</f>
        <v/>
      </c>
    </row>
    <row r="717" spans="2:11">
      <c r="B717" s="94"/>
      <c r="D717" s="291"/>
      <c r="E717" s="268"/>
      <c r="G717" s="270" t="str">
        <f t="shared" ca="1" si="161"/>
        <v/>
      </c>
      <c r="I717" s="271" t="str">
        <f t="shared" ca="1" si="165"/>
        <v/>
      </c>
      <c r="K717" s="215" t="str">
        <f t="shared" ref="K717" ca="1" si="203">IF(J717&lt;&gt;"", IF(K717&lt;&gt;0, K717, NOW()), "")</f>
        <v/>
      </c>
    </row>
    <row r="718" spans="2:11">
      <c r="B718" s="94"/>
      <c r="D718" s="291"/>
      <c r="E718" s="268"/>
      <c r="G718" s="270" t="str">
        <f t="shared" ca="1" si="161"/>
        <v/>
      </c>
      <c r="I718" s="271" t="str">
        <f t="shared" ca="1" si="165"/>
        <v/>
      </c>
      <c r="K718" s="215" t="str">
        <f t="shared" ref="K718" ca="1" si="204">IF(J718&lt;&gt;"", IF(K718&lt;&gt;0, K718, NOW()), "")</f>
        <v/>
      </c>
    </row>
    <row r="719" spans="2:11">
      <c r="B719" s="94"/>
      <c r="D719" s="291"/>
      <c r="E719" s="268"/>
      <c r="G719" s="270" t="str">
        <f t="shared" ca="1" si="161"/>
        <v/>
      </c>
      <c r="I719" s="271" t="str">
        <f t="shared" ca="1" si="165"/>
        <v/>
      </c>
      <c r="K719" s="215" t="str">
        <f t="shared" ref="K719" ca="1" si="205">IF(J719&lt;&gt;"", IF(K719&lt;&gt;0, K719, NOW()), "")</f>
        <v/>
      </c>
    </row>
    <row r="720" spans="2:11">
      <c r="B720" s="94"/>
      <c r="D720" s="291"/>
      <c r="E720" s="268"/>
      <c r="G720" s="270" t="str">
        <f t="shared" ca="1" si="161"/>
        <v/>
      </c>
      <c r="I720" s="271" t="str">
        <f t="shared" ca="1" si="165"/>
        <v/>
      </c>
      <c r="K720" s="215" t="str">
        <f t="shared" ref="K720" ca="1" si="206">IF(J720&lt;&gt;"", IF(K720&lt;&gt;0, K720, NOW()), "")</f>
        <v/>
      </c>
    </row>
    <row r="721" spans="2:11">
      <c r="B721" s="94"/>
      <c r="D721" s="291"/>
      <c r="E721" s="268"/>
      <c r="G721" s="270" t="str">
        <f t="shared" ca="1" si="161"/>
        <v/>
      </c>
      <c r="I721" s="271" t="str">
        <f t="shared" ca="1" si="165"/>
        <v/>
      </c>
      <c r="K721" s="215" t="str">
        <f t="shared" ref="K721" ca="1" si="207">IF(J721&lt;&gt;"", IF(K721&lt;&gt;0, K721, NOW()), "")</f>
        <v/>
      </c>
    </row>
    <row r="722" spans="2:11">
      <c r="B722" s="94"/>
      <c r="D722" s="291"/>
      <c r="E722" s="268"/>
      <c r="G722" s="270" t="str">
        <f t="shared" ca="1" si="161"/>
        <v/>
      </c>
      <c r="I722" s="271" t="str">
        <f t="shared" ca="1" si="165"/>
        <v/>
      </c>
      <c r="K722" s="215" t="str">
        <f t="shared" ref="K722" ca="1" si="208">IF(J722&lt;&gt;"", IF(K722&lt;&gt;0, K722, NOW()), "")</f>
        <v/>
      </c>
    </row>
    <row r="723" spans="2:11">
      <c r="B723" s="94"/>
      <c r="D723" s="291"/>
      <c r="E723" s="268"/>
      <c r="G723" s="270" t="str">
        <f t="shared" ca="1" si="161"/>
        <v/>
      </c>
      <c r="I723" s="271" t="str">
        <f t="shared" ca="1" si="165"/>
        <v/>
      </c>
      <c r="K723" s="215" t="str">
        <f t="shared" ref="K723" ca="1" si="209">IF(J723&lt;&gt;"", IF(K723&lt;&gt;0, K723, NOW()), "")</f>
        <v/>
      </c>
    </row>
    <row r="724" spans="2:11">
      <c r="B724" s="94"/>
      <c r="D724" s="291"/>
      <c r="E724" s="268"/>
      <c r="G724" s="270" t="str">
        <f t="shared" ca="1" si="161"/>
        <v/>
      </c>
      <c r="I724" s="271" t="str">
        <f t="shared" ca="1" si="165"/>
        <v/>
      </c>
      <c r="K724" s="215" t="str">
        <f t="shared" ref="K724" ca="1" si="210">IF(J724&lt;&gt;"", IF(K724&lt;&gt;0, K724, NOW()), "")</f>
        <v/>
      </c>
    </row>
    <row r="725" spans="2:11">
      <c r="B725" s="94"/>
      <c r="D725" s="291"/>
      <c r="E725" s="268"/>
      <c r="G725" s="270" t="str">
        <f t="shared" ca="1" si="161"/>
        <v/>
      </c>
      <c r="I725" s="271" t="str">
        <f t="shared" ca="1" si="165"/>
        <v/>
      </c>
      <c r="K725" s="215" t="str">
        <f t="shared" ref="K725" ca="1" si="211">IF(J725&lt;&gt;"", IF(K725&lt;&gt;0, K725, NOW()), "")</f>
        <v/>
      </c>
    </row>
    <row r="726" spans="2:11">
      <c r="B726" s="94"/>
      <c r="D726" s="291"/>
      <c r="E726" s="268"/>
      <c r="G726" s="270" t="str">
        <f t="shared" ca="1" si="161"/>
        <v/>
      </c>
      <c r="I726" s="271" t="str">
        <f t="shared" ca="1" si="165"/>
        <v/>
      </c>
      <c r="K726" s="215" t="str">
        <f t="shared" ref="K726" ca="1" si="212">IF(J726&lt;&gt;"", IF(K726&lt;&gt;0, K726, NOW()), "")</f>
        <v/>
      </c>
    </row>
    <row r="727" spans="2:11">
      <c r="B727" s="94"/>
      <c r="D727" s="291"/>
      <c r="E727" s="268"/>
      <c r="G727" s="270" t="str">
        <f t="shared" ca="1" si="161"/>
        <v/>
      </c>
      <c r="I727" s="271" t="str">
        <f t="shared" ca="1" si="165"/>
        <v/>
      </c>
      <c r="K727" s="215" t="str">
        <f t="shared" ref="K727" ca="1" si="213">IF(J727&lt;&gt;"", IF(K727&lt;&gt;0, K727, NOW()), "")</f>
        <v/>
      </c>
    </row>
    <row r="728" spans="2:11">
      <c r="B728" s="94"/>
      <c r="D728" s="291"/>
      <c r="E728" s="268"/>
      <c r="G728" s="270" t="str">
        <f t="shared" ca="1" si="161"/>
        <v/>
      </c>
      <c r="I728" s="271" t="str">
        <f t="shared" ca="1" si="165"/>
        <v/>
      </c>
      <c r="K728" s="215" t="str">
        <f t="shared" ref="K728" ca="1" si="214">IF(J728&lt;&gt;"", IF(K728&lt;&gt;0, K728, NOW()), "")</f>
        <v/>
      </c>
    </row>
    <row r="729" spans="2:11">
      <c r="B729" s="94"/>
      <c r="D729" s="291"/>
      <c r="E729" s="268"/>
      <c r="G729" s="270" t="str">
        <f t="shared" ca="1" si="161"/>
        <v/>
      </c>
      <c r="I729" s="271" t="str">
        <f t="shared" ca="1" si="165"/>
        <v/>
      </c>
      <c r="K729" s="215" t="str">
        <f t="shared" ref="K729" ca="1" si="215">IF(J729&lt;&gt;"", IF(K729&lt;&gt;0, K729, NOW()), "")</f>
        <v/>
      </c>
    </row>
    <row r="730" spans="2:11">
      <c r="B730" s="94"/>
      <c r="D730" s="291"/>
      <c r="E730" s="268"/>
      <c r="G730" s="270" t="str">
        <f t="shared" ca="1" si="161"/>
        <v/>
      </c>
      <c r="I730" s="271" t="str">
        <f t="shared" ca="1" si="165"/>
        <v/>
      </c>
      <c r="K730" s="215" t="str">
        <f t="shared" ref="K730" ca="1" si="216">IF(J730&lt;&gt;"", IF(K730&lt;&gt;0, K730, NOW()), "")</f>
        <v/>
      </c>
    </row>
    <row r="731" spans="2:11">
      <c r="B731" s="94"/>
      <c r="D731" s="291"/>
      <c r="E731" s="268"/>
      <c r="G731" s="270" t="str">
        <f t="shared" ca="1" si="161"/>
        <v/>
      </c>
      <c r="I731" s="271" t="str">
        <f t="shared" ca="1" si="165"/>
        <v/>
      </c>
      <c r="K731" s="215" t="str">
        <f t="shared" ref="K731" ca="1" si="217">IF(J731&lt;&gt;"", IF(K731&lt;&gt;0, K731, NOW()), "")</f>
        <v/>
      </c>
    </row>
    <row r="732" spans="2:11">
      <c r="B732" s="94"/>
      <c r="D732" s="291"/>
      <c r="E732" s="268"/>
      <c r="G732" s="270" t="str">
        <f t="shared" ca="1" si="161"/>
        <v/>
      </c>
      <c r="I732" s="271" t="str">
        <f t="shared" ca="1" si="165"/>
        <v/>
      </c>
      <c r="K732" s="215" t="str">
        <f t="shared" ref="K732" ca="1" si="218">IF(J732&lt;&gt;"", IF(K732&lt;&gt;0, K732, NOW()), "")</f>
        <v/>
      </c>
    </row>
    <row r="733" spans="2:11">
      <c r="B733" s="94"/>
      <c r="D733" s="291"/>
      <c r="E733" s="268"/>
      <c r="G733" s="270" t="str">
        <f t="shared" ca="1" si="161"/>
        <v/>
      </c>
      <c r="I733" s="271" t="str">
        <f t="shared" ca="1" si="165"/>
        <v/>
      </c>
      <c r="K733" s="215" t="str">
        <f t="shared" ref="K733" ca="1" si="219">IF(J733&lt;&gt;"", IF(K733&lt;&gt;0, K733, NOW()), "")</f>
        <v/>
      </c>
    </row>
    <row r="734" spans="2:11">
      <c r="B734" s="94"/>
      <c r="D734" s="291"/>
      <c r="E734" s="268"/>
      <c r="G734" s="270" t="str">
        <f t="shared" ca="1" si="161"/>
        <v/>
      </c>
      <c r="I734" s="271" t="str">
        <f t="shared" ca="1" si="165"/>
        <v/>
      </c>
      <c r="K734" s="215" t="str">
        <f t="shared" ref="K734" ca="1" si="220">IF(J734&lt;&gt;"", IF(K734&lt;&gt;0, K734, NOW()), "")</f>
        <v/>
      </c>
    </row>
    <row r="735" spans="2:11">
      <c r="B735" s="94"/>
      <c r="D735" s="291"/>
      <c r="E735" s="268"/>
      <c r="G735" s="270" t="str">
        <f t="shared" ca="1" si="161"/>
        <v/>
      </c>
      <c r="I735" s="271" t="str">
        <f t="shared" ca="1" si="165"/>
        <v/>
      </c>
      <c r="K735" s="215" t="str">
        <f t="shared" ref="K735" ca="1" si="221">IF(J735&lt;&gt;"", IF(K735&lt;&gt;0, K735, NOW()), "")</f>
        <v/>
      </c>
    </row>
    <row r="736" spans="2:11">
      <c r="B736" s="94"/>
      <c r="D736" s="291"/>
      <c r="E736" s="268"/>
      <c r="G736" s="270" t="str">
        <f t="shared" ca="1" si="161"/>
        <v/>
      </c>
      <c r="I736" s="271" t="str">
        <f t="shared" ca="1" si="165"/>
        <v/>
      </c>
      <c r="K736" s="215" t="str">
        <f t="shared" ref="K736" ca="1" si="222">IF(J736&lt;&gt;"", IF(K736&lt;&gt;0, K736, NOW()), "")</f>
        <v/>
      </c>
    </row>
    <row r="737" spans="2:11">
      <c r="B737" s="94"/>
      <c r="D737" s="291"/>
      <c r="E737" s="268"/>
      <c r="G737" s="270" t="str">
        <f t="shared" ca="1" si="161"/>
        <v/>
      </c>
      <c r="I737" s="271" t="str">
        <f t="shared" ca="1" si="165"/>
        <v/>
      </c>
      <c r="K737" s="215" t="str">
        <f t="shared" ref="K737" ca="1" si="223">IF(J737&lt;&gt;"", IF(K737&lt;&gt;0, K737, NOW()), "")</f>
        <v/>
      </c>
    </row>
    <row r="738" spans="2:11">
      <c r="B738" s="94"/>
      <c r="D738" s="291"/>
      <c r="E738" s="268"/>
      <c r="G738" s="270" t="str">
        <f t="shared" ca="1" si="161"/>
        <v/>
      </c>
      <c r="I738" s="271" t="str">
        <f t="shared" ca="1" si="165"/>
        <v/>
      </c>
      <c r="K738" s="215" t="str">
        <f t="shared" ref="K738" ca="1" si="224">IF(J738&lt;&gt;"", IF(K738&lt;&gt;0, K738, NOW()), "")</f>
        <v/>
      </c>
    </row>
    <row r="739" spans="2:11">
      <c r="B739" s="94"/>
      <c r="D739" s="291"/>
      <c r="E739" s="268"/>
      <c r="G739" s="270" t="str">
        <f t="shared" ca="1" si="161"/>
        <v/>
      </c>
      <c r="I739" s="271" t="str">
        <f t="shared" ca="1" si="165"/>
        <v/>
      </c>
      <c r="K739" s="215" t="str">
        <f t="shared" ref="K739" ca="1" si="225">IF(J739&lt;&gt;"", IF(K739&lt;&gt;0, K739, NOW()), "")</f>
        <v/>
      </c>
    </row>
    <row r="740" spans="2:11">
      <c r="B740" s="94"/>
      <c r="D740" s="291"/>
      <c r="E740" s="268"/>
      <c r="G740" s="270" t="str">
        <f t="shared" ca="1" si="161"/>
        <v/>
      </c>
      <c r="I740" s="271" t="str">
        <f t="shared" ca="1" si="165"/>
        <v/>
      </c>
      <c r="K740" s="215" t="str">
        <f t="shared" ref="K740" ca="1" si="226">IF(J740&lt;&gt;"", IF(K740&lt;&gt;0, K740, NOW()), "")</f>
        <v/>
      </c>
    </row>
    <row r="741" spans="2:11">
      <c r="B741" s="94"/>
      <c r="D741" s="291"/>
      <c r="E741" s="268"/>
      <c r="G741" s="270" t="str">
        <f t="shared" ref="G741:G762" ca="1" si="227">IF(F741&lt;&gt;"", IF(G741&lt;&gt;0, G741, NOW()), "")</f>
        <v/>
      </c>
      <c r="I741" s="271" t="str">
        <f t="shared" ca="1" si="165"/>
        <v/>
      </c>
      <c r="K741" s="215" t="str">
        <f t="shared" ref="K741" ca="1" si="228">IF(J741&lt;&gt;"", IF(K741&lt;&gt;0, K741, NOW()), "")</f>
        <v/>
      </c>
    </row>
    <row r="742" spans="2:11">
      <c r="B742" s="94"/>
      <c r="D742" s="291"/>
      <c r="E742" s="268"/>
      <c r="G742" s="270" t="str">
        <f t="shared" ca="1" si="227"/>
        <v/>
      </c>
      <c r="I742" s="271" t="str">
        <f t="shared" ca="1" si="165"/>
        <v/>
      </c>
      <c r="K742" s="215" t="str">
        <f t="shared" ref="K742" ca="1" si="229">IF(J742&lt;&gt;"", IF(K742&lt;&gt;0, K742, NOW()), "")</f>
        <v/>
      </c>
    </row>
    <row r="743" spans="2:11">
      <c r="B743" s="94"/>
      <c r="D743" s="291"/>
      <c r="E743" s="268"/>
      <c r="G743" s="270" t="str">
        <f t="shared" ca="1" si="227"/>
        <v/>
      </c>
      <c r="I743" s="271" t="str">
        <f t="shared" ca="1" si="165"/>
        <v/>
      </c>
      <c r="K743" s="215" t="str">
        <f t="shared" ref="K743" ca="1" si="230">IF(J743&lt;&gt;"", IF(K743&lt;&gt;0, K743, NOW()), "")</f>
        <v/>
      </c>
    </row>
    <row r="744" spans="2:11">
      <c r="B744" s="94"/>
      <c r="D744" s="291"/>
      <c r="E744" s="268"/>
      <c r="G744" s="270" t="str">
        <f t="shared" ca="1" si="227"/>
        <v/>
      </c>
      <c r="I744" s="271" t="str">
        <f t="shared" ref="I744:I762" ca="1" si="231">IF(H744&lt;&gt;"", IF(I744&lt;&gt;0, I744, NOW()), "")</f>
        <v/>
      </c>
      <c r="K744" s="215" t="str">
        <f t="shared" ref="K744" ca="1" si="232">IF(J744&lt;&gt;"", IF(K744&lt;&gt;0, K744, NOW()), "")</f>
        <v/>
      </c>
    </row>
    <row r="745" spans="2:11">
      <c r="B745" s="94"/>
      <c r="D745" s="291"/>
      <c r="E745" s="268"/>
      <c r="G745" s="270" t="str">
        <f t="shared" ca="1" si="227"/>
        <v/>
      </c>
      <c r="I745" s="271" t="str">
        <f t="shared" ca="1" si="231"/>
        <v/>
      </c>
      <c r="K745" s="215" t="str">
        <f t="shared" ref="K745" ca="1" si="233">IF(J745&lt;&gt;"", IF(K745&lt;&gt;0, K745, NOW()), "")</f>
        <v/>
      </c>
    </row>
    <row r="746" spans="2:11">
      <c r="B746" s="94"/>
      <c r="D746" s="291"/>
      <c r="E746" s="268"/>
      <c r="G746" s="270" t="str">
        <f t="shared" ca="1" si="227"/>
        <v/>
      </c>
      <c r="I746" s="271" t="str">
        <f t="shared" ca="1" si="231"/>
        <v/>
      </c>
      <c r="K746" s="215" t="str">
        <f t="shared" ref="K746" ca="1" si="234">IF(J746&lt;&gt;"", IF(K746&lt;&gt;0, K746, NOW()), "")</f>
        <v/>
      </c>
    </row>
    <row r="747" spans="2:11">
      <c r="B747" s="94"/>
      <c r="D747" s="291"/>
      <c r="E747" s="268"/>
      <c r="G747" s="270" t="str">
        <f t="shared" ca="1" si="227"/>
        <v/>
      </c>
      <c r="I747" s="271" t="str">
        <f t="shared" ca="1" si="231"/>
        <v/>
      </c>
      <c r="K747" s="215" t="str">
        <f t="shared" ref="K747" ca="1" si="235">IF(J747&lt;&gt;"", IF(K747&lt;&gt;0, K747, NOW()), "")</f>
        <v/>
      </c>
    </row>
    <row r="748" spans="2:11">
      <c r="B748" s="94"/>
      <c r="D748" s="291"/>
      <c r="E748" s="268"/>
      <c r="G748" s="270" t="str">
        <f t="shared" ca="1" si="227"/>
        <v/>
      </c>
      <c r="I748" s="271" t="str">
        <f t="shared" ca="1" si="231"/>
        <v/>
      </c>
      <c r="K748" s="215" t="str">
        <f t="shared" ref="K748" ca="1" si="236">IF(J748&lt;&gt;"", IF(K748&lt;&gt;0, K748, NOW()), "")</f>
        <v/>
      </c>
    </row>
    <row r="749" spans="2:11">
      <c r="B749" s="94"/>
      <c r="D749" s="291"/>
      <c r="E749" s="268"/>
      <c r="G749" s="270" t="str">
        <f t="shared" ca="1" si="227"/>
        <v/>
      </c>
      <c r="I749" s="271" t="str">
        <f t="shared" ca="1" si="231"/>
        <v/>
      </c>
      <c r="K749" s="215" t="str">
        <f t="shared" ref="K749" ca="1" si="237">IF(J749&lt;&gt;"", IF(K749&lt;&gt;0, K749, NOW()), "")</f>
        <v/>
      </c>
    </row>
    <row r="750" spans="2:11">
      <c r="B750" s="94"/>
      <c r="D750" s="291"/>
      <c r="E750" s="268"/>
      <c r="G750" s="270" t="str">
        <f t="shared" ca="1" si="227"/>
        <v/>
      </c>
      <c r="I750" s="271" t="str">
        <f t="shared" ca="1" si="231"/>
        <v/>
      </c>
      <c r="K750" s="215" t="str">
        <f t="shared" ref="K750" ca="1" si="238">IF(J750&lt;&gt;"", IF(K750&lt;&gt;0, K750, NOW()), "")</f>
        <v/>
      </c>
    </row>
    <row r="751" spans="2:11">
      <c r="B751" s="94"/>
      <c r="D751" s="291"/>
      <c r="E751" s="268"/>
      <c r="G751" s="270" t="str">
        <f t="shared" ca="1" si="227"/>
        <v/>
      </c>
      <c r="I751" s="271" t="str">
        <f t="shared" ca="1" si="231"/>
        <v/>
      </c>
      <c r="K751" s="215" t="str">
        <f t="shared" ref="K751" ca="1" si="239">IF(J751&lt;&gt;"", IF(K751&lt;&gt;0, K751, NOW()), "")</f>
        <v/>
      </c>
    </row>
    <row r="752" spans="2:11">
      <c r="B752" s="94"/>
      <c r="D752" s="291"/>
      <c r="E752" s="268"/>
      <c r="G752" s="270" t="str">
        <f t="shared" ca="1" si="227"/>
        <v/>
      </c>
      <c r="I752" s="271" t="str">
        <f t="shared" ca="1" si="231"/>
        <v/>
      </c>
      <c r="K752" s="215" t="str">
        <f t="shared" ref="K752" ca="1" si="240">IF(J752&lt;&gt;"", IF(K752&lt;&gt;0, K752, NOW()), "")</f>
        <v/>
      </c>
    </row>
    <row r="753" spans="2:11">
      <c r="B753" s="94"/>
      <c r="D753" s="291"/>
      <c r="E753" s="268"/>
      <c r="G753" s="270" t="str">
        <f t="shared" ca="1" si="227"/>
        <v/>
      </c>
      <c r="I753" s="271" t="str">
        <f t="shared" ca="1" si="231"/>
        <v/>
      </c>
      <c r="K753" s="215" t="str">
        <f t="shared" ref="K753" ca="1" si="241">IF(J753&lt;&gt;"", IF(K753&lt;&gt;0, K753, NOW()), "")</f>
        <v/>
      </c>
    </row>
    <row r="754" spans="2:11">
      <c r="B754" s="94"/>
      <c r="D754" s="291"/>
      <c r="E754" s="268"/>
      <c r="G754" s="270" t="str">
        <f t="shared" ca="1" si="227"/>
        <v/>
      </c>
      <c r="I754" s="271" t="str">
        <f t="shared" ca="1" si="231"/>
        <v/>
      </c>
      <c r="K754" s="215"/>
    </row>
    <row r="755" spans="2:11">
      <c r="B755" s="94"/>
      <c r="D755" s="291"/>
      <c r="E755" s="268"/>
      <c r="G755" s="270" t="str">
        <f t="shared" ca="1" si="227"/>
        <v/>
      </c>
      <c r="I755" s="271" t="str">
        <f t="shared" ca="1" si="231"/>
        <v/>
      </c>
      <c r="K755" s="215" t="str">
        <f t="shared" ref="K755" ca="1" si="242">IF(J755&lt;&gt;"", IF(K755&lt;&gt;0, K755, NOW()), "")</f>
        <v/>
      </c>
    </row>
    <row r="756" spans="2:11">
      <c r="B756" s="94"/>
      <c r="D756" s="291"/>
      <c r="E756" s="268"/>
      <c r="G756" s="270" t="str">
        <f t="shared" ca="1" si="227"/>
        <v/>
      </c>
      <c r="I756" s="271" t="str">
        <f t="shared" ca="1" si="231"/>
        <v/>
      </c>
      <c r="K756" s="215" t="str">
        <f t="shared" ref="K756" ca="1" si="243">IF(J756&lt;&gt;"", IF(K756&lt;&gt;0, K756, NOW()), "")</f>
        <v/>
      </c>
    </row>
    <row r="757" spans="2:11">
      <c r="B757" s="94"/>
      <c r="D757" s="291"/>
      <c r="E757" s="268"/>
      <c r="G757" s="270" t="str">
        <f t="shared" ca="1" si="227"/>
        <v/>
      </c>
      <c r="I757" s="271" t="str">
        <f t="shared" ca="1" si="231"/>
        <v/>
      </c>
      <c r="K757" s="215" t="str">
        <f t="shared" ref="K757" ca="1" si="244">IF(J757&lt;&gt;"", IF(K757&lt;&gt;0, K757, NOW()), "")</f>
        <v/>
      </c>
    </row>
    <row r="758" spans="2:11">
      <c r="B758" s="94"/>
      <c r="D758" s="291"/>
      <c r="E758" s="268"/>
      <c r="G758" s="270" t="str">
        <f t="shared" ca="1" si="227"/>
        <v/>
      </c>
      <c r="I758" s="271" t="str">
        <f t="shared" ca="1" si="231"/>
        <v/>
      </c>
      <c r="K758" s="215" t="str">
        <f t="shared" ref="K758" ca="1" si="245">IF(J758&lt;&gt;"", IF(K758&lt;&gt;0, K758, NOW()), "")</f>
        <v/>
      </c>
    </row>
    <row r="759" spans="2:11">
      <c r="B759" s="94"/>
      <c r="D759" s="291"/>
      <c r="E759" s="268"/>
      <c r="G759" s="270" t="str">
        <f t="shared" ca="1" si="227"/>
        <v/>
      </c>
      <c r="I759" s="271" t="str">
        <f t="shared" ca="1" si="231"/>
        <v/>
      </c>
      <c r="K759" s="215" t="str">
        <f t="shared" ref="K759" ca="1" si="246">IF(J759&lt;&gt;"", IF(K759&lt;&gt;0, K759, NOW()), "")</f>
        <v/>
      </c>
    </row>
    <row r="760" spans="2:11">
      <c r="B760" s="94"/>
      <c r="D760" s="291"/>
      <c r="E760" s="268"/>
      <c r="G760" s="270" t="str">
        <f t="shared" ca="1" si="227"/>
        <v/>
      </c>
      <c r="I760" s="271" t="str">
        <f t="shared" ca="1" si="231"/>
        <v/>
      </c>
      <c r="K760" s="215" t="str">
        <f t="shared" ref="K760" ca="1" si="247">IF(J760&lt;&gt;"", IF(K760&lt;&gt;0, K760, NOW()), "")</f>
        <v/>
      </c>
    </row>
    <row r="761" spans="2:11">
      <c r="B761" s="94"/>
      <c r="D761" s="291"/>
      <c r="E761" s="268"/>
      <c r="G761" s="270" t="str">
        <f t="shared" ca="1" si="227"/>
        <v/>
      </c>
      <c r="I761" s="271" t="str">
        <f t="shared" ca="1" si="231"/>
        <v/>
      </c>
      <c r="K761" s="215" t="str">
        <f t="shared" ref="K761" ca="1" si="248">IF(J761&lt;&gt;"", IF(K761&lt;&gt;0, K761, NOW()), "")</f>
        <v/>
      </c>
    </row>
    <row r="762" spans="2:11">
      <c r="B762" s="94"/>
      <c r="D762" s="291"/>
      <c r="E762" s="268"/>
      <c r="G762" s="270" t="str">
        <f t="shared" ca="1" si="227"/>
        <v/>
      </c>
      <c r="I762" s="271" t="str">
        <f t="shared" ca="1" si="231"/>
        <v/>
      </c>
      <c r="K762" s="215" t="str">
        <f t="shared" ref="K762" ca="1" si="249">IF(J762&lt;&gt;"", IF(K762&lt;&gt;0, K762, NOW()), "")</f>
        <v/>
      </c>
    </row>
    <row r="763" spans="2:11">
      <c r="D763" s="291"/>
      <c r="E763" s="268"/>
    </row>
  </sheetData>
  <autoFilter ref="A1:AF762" xr:uid="{00000000-0001-0000-0000-000000000000}"/>
  <conditionalFormatting sqref="F4:N238 F239:M247 F248:I248 L248:M248 G4:G1048576 I4:I1048576 K4:K1048576 N239:N449 F249:M449 F450:N1048576">
    <cfRule type="containsBlanks" dxfId="21" priority="8">
      <formula>LEN(TRIM(F4))=0</formula>
    </cfRule>
  </conditionalFormatting>
  <conditionalFormatting sqref="AM1:AM267 AM275:AM1048576 A1:A339 A341:A366 A371:A372 A374:A1048576">
    <cfRule type="duplicateValues" dxfId="20" priority="6"/>
  </conditionalFormatting>
  <conditionalFormatting sqref="AM1:AM1048576 A1:A339 A341:A366 A371:A372 A374:A1048576">
    <cfRule type="duplicateValues" dxfId="19" priority="5"/>
  </conditionalFormatting>
  <conditionalFormatting sqref="AD393 A1:A443 B431:B443 B1:B429 A444:B456 E457 B455:B458 C457:C459 C1:AC450 C451:Y456 AA451:AC456 N450:N512 A459:Y512 AA459:AC512 Z451:Z512 AD524 A513:AC1048576">
    <cfRule type="expression" dxfId="18" priority="75">
      <formula>AND($A1&lt;&gt;" ", $Z1="DONE")</formula>
    </cfRule>
  </conditionalFormatting>
  <conditionalFormatting sqref="AE221:AE242">
    <cfRule type="expression" dxfId="17" priority="81">
      <formula>AND($A222&lt;&gt;" ", $Z222="DONE")</formula>
    </cfRule>
  </conditionalFormatting>
  <conditionalFormatting sqref="A457:A463">
    <cfRule type="expression" dxfId="16" priority="96">
      <formula>AND($A457&lt;&gt;" ", $Z458="DONE")</formula>
    </cfRule>
  </conditionalFormatting>
  <conditionalFormatting sqref="D458:Y458 AA458:AB458">
    <cfRule type="expression" dxfId="15" priority="98">
      <formula>AND($A457&lt;&gt;" ", $Z458="DONE")</formula>
    </cfRule>
  </conditionalFormatting>
  <conditionalFormatting sqref="D457 F457:Y457 AB457:AC457 AC458">
    <cfRule type="expression" dxfId="14" priority="99">
      <formula>AND(#REF!&lt;&gt;" ", $Z457="DONE")</formula>
    </cfRule>
  </conditionalFormatting>
  <conditionalFormatting sqref="H462">
    <cfRule type="expression" dxfId="13" priority="2">
      <formula>AND($A461&lt;&gt;" ", $Z462="DONE")</formula>
    </cfRule>
  </conditionalFormatting>
  <conditionalFormatting sqref="AA457">
    <cfRule type="expression" dxfId="12" priority="1">
      <formula>AND($A457&lt;&gt;" ", $Z457="DONE")</formula>
    </cfRule>
  </conditionalFormatting>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B6D4B06C-3900-4AB7-A502-7F3AD7F76B83}">
          <x14:formula1>
            <xm:f>Sheet2!$A$2:$A$6</xm:f>
          </x14:formula1>
          <xm:sqref>Q4:Q77 Q84:Q1048574</xm:sqref>
        </x14:dataValidation>
        <x14:dataValidation type="list" allowBlank="1" showInputMessage="1" showErrorMessage="1" xr:uid="{D9450E47-1AB7-49DE-9B4E-AEFE1556409A}">
          <x14:formula1>
            <xm:f>Sheet2!$E$2:$E$5</xm:f>
          </x14:formula1>
          <xm:sqref>T4:T77 T84:T1048574</xm:sqref>
        </x14:dataValidation>
        <x14:dataValidation type="list" allowBlank="1" showInputMessage="1" showErrorMessage="1" xr:uid="{622EE094-05CC-4EBF-AC5D-10CDEA531294}">
          <x14:formula1>
            <xm:f>Sheet2!$F$2:$F$5</xm:f>
          </x14:formula1>
          <xm:sqref>W4:W77 W84:W1048574</xm:sqref>
        </x14:dataValidation>
        <x14:dataValidation type="list" allowBlank="1" showInputMessage="1" showErrorMessage="1" xr:uid="{1691A994-48FE-40AF-AD47-2D0796E6C4BC}">
          <x14:formula1>
            <xm:f>Sheet2!$B$2:$B$7</xm:f>
          </x14:formula1>
          <xm:sqref>R4:R77 R84:R1048574</xm:sqref>
        </x14:dataValidation>
        <x14:dataValidation type="list" allowBlank="1" showInputMessage="1" showErrorMessage="1" xr:uid="{81D76163-1870-4F53-8AEE-2F3EE9DF25B1}">
          <x14:formula1>
            <xm:f>Sheet2!B:B</xm:f>
          </x14:formula1>
          <xm:sqref>F1:F1048574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CE6F1-6F12-4EB2-A300-E370C624CF37}">
  <sheetPr>
    <tabColor rgb="FFFFFF00"/>
  </sheetPr>
  <dimension ref="A1:KL5"/>
  <sheetViews>
    <sheetView workbookViewId="0">
      <pane xSplit="205" ySplit="1" topLeftCell="JU2" activePane="bottomRight" state="frozen"/>
      <selection pane="bottomRight" activeCell="A9" sqref="A9"/>
      <selection pane="bottomLeft"/>
      <selection pane="topRight"/>
    </sheetView>
  </sheetViews>
  <sheetFormatPr defaultRowHeight="14.45"/>
  <cols>
    <col min="1" max="1" width="15.5703125" bestFit="1" customWidth="1"/>
    <col min="2" max="2" width="5.28515625" hidden="1" customWidth="1"/>
    <col min="3" max="3" width="0" hidden="1" customWidth="1"/>
    <col min="4" max="4" width="8.42578125" hidden="1" customWidth="1"/>
    <col min="5" max="7" width="9.42578125" hidden="1" customWidth="1"/>
    <col min="8" max="26" width="10.42578125" hidden="1" customWidth="1"/>
    <col min="27" max="35" width="8.42578125" hidden="1" customWidth="1"/>
    <col min="36" max="38" width="9.42578125" hidden="1" customWidth="1"/>
    <col min="39" max="56" width="10.42578125" hidden="1" customWidth="1"/>
    <col min="57" max="65" width="8.42578125" hidden="1" customWidth="1"/>
    <col min="66" max="68" width="9.42578125" hidden="1" customWidth="1"/>
    <col min="69" max="87" width="10.42578125" hidden="1" customWidth="1"/>
    <col min="88" max="96" width="8.42578125" hidden="1" customWidth="1"/>
    <col min="97" max="100" width="9.42578125" hidden="1" customWidth="1"/>
    <col min="101" max="117" width="10.42578125" hidden="1" customWidth="1"/>
    <col min="118" max="126" width="8.42578125" hidden="1" customWidth="1"/>
    <col min="127" max="129" width="9.42578125" hidden="1" customWidth="1"/>
    <col min="130" max="147" width="10.42578125" hidden="1" customWidth="1"/>
    <col min="148" max="156" width="9.42578125" hidden="1" customWidth="1"/>
    <col min="157" max="178" width="10.42578125" hidden="1" customWidth="1"/>
    <col min="179" max="187" width="9.42578125" hidden="1" customWidth="1"/>
    <col min="188" max="199" width="10.42578125" hidden="1" customWidth="1"/>
    <col min="200" max="202" width="11.28515625" hidden="1" customWidth="1"/>
    <col min="203" max="203" width="10.85546875" hidden="1" customWidth="1"/>
    <col min="204" max="204" width="11" hidden="1" customWidth="1"/>
    <col min="205" max="205" width="10.7109375" hidden="1" customWidth="1"/>
    <col min="206" max="207" width="10.7109375" customWidth="1"/>
    <col min="208" max="208" width="11.28515625" bestFit="1" customWidth="1"/>
    <col min="209" max="209" width="11.5703125" customWidth="1"/>
    <col min="210" max="210" width="11.7109375" customWidth="1"/>
    <col min="211" max="211" width="13.28515625" customWidth="1"/>
    <col min="212" max="212" width="12" customWidth="1"/>
    <col min="213" max="213" width="12.28515625" customWidth="1"/>
    <col min="214" max="214" width="13.85546875" customWidth="1"/>
    <col min="215" max="215" width="12.140625" customWidth="1"/>
    <col min="216" max="222" width="11.7109375" customWidth="1"/>
    <col min="223" max="223" width="11" customWidth="1"/>
    <col min="224" max="224" width="11.140625" customWidth="1"/>
    <col min="225" max="225" width="10.7109375" customWidth="1"/>
    <col min="226" max="226" width="10.42578125" customWidth="1"/>
    <col min="227" max="227" width="10.85546875" customWidth="1"/>
    <col min="228" max="229" width="10.7109375" customWidth="1"/>
    <col min="230" max="230" width="11.140625" customWidth="1"/>
    <col min="231" max="231" width="10.7109375" customWidth="1"/>
    <col min="232" max="232" width="10.85546875" customWidth="1"/>
    <col min="233" max="233" width="10.5703125" customWidth="1"/>
    <col min="239" max="239" width="10.42578125" customWidth="1"/>
    <col min="240" max="241" width="9.85546875" customWidth="1"/>
    <col min="242" max="243" width="10.28515625" customWidth="1"/>
    <col min="244" max="244" width="10.5703125" customWidth="1"/>
    <col min="245" max="245" width="10.28515625" customWidth="1"/>
    <col min="246" max="246" width="10" customWidth="1"/>
    <col min="247" max="248" width="10.140625" customWidth="1"/>
    <col min="249" max="249" width="10" customWidth="1"/>
    <col min="250" max="250" width="9.85546875" customWidth="1"/>
    <col min="251" max="251" width="10.140625" customWidth="1"/>
    <col min="252" max="252" width="10" customWidth="1"/>
    <col min="253" max="253" width="10.140625" customWidth="1"/>
    <col min="254" max="254" width="10.7109375" customWidth="1"/>
    <col min="261" max="261" width="9.85546875" customWidth="1"/>
    <col min="262" max="262" width="10.28515625" customWidth="1"/>
    <col min="263" max="263" width="10" customWidth="1"/>
    <col min="264" max="264" width="10.140625" customWidth="1"/>
    <col min="265" max="266" width="9.42578125" customWidth="1"/>
    <col min="267" max="267" width="9.7109375" customWidth="1"/>
    <col min="274" max="274" width="9.7109375" customWidth="1"/>
    <col min="275" max="275" width="9.5703125" customWidth="1"/>
    <col min="276" max="277" width="10" customWidth="1"/>
    <col min="278" max="278" width="9.5703125" customWidth="1"/>
    <col min="279" max="279" width="9.85546875" customWidth="1"/>
    <col min="280" max="280" width="10.140625" customWidth="1"/>
    <col min="281" max="281" width="10.28515625" customWidth="1"/>
    <col min="282" max="282" width="9.85546875" customWidth="1"/>
    <col min="283" max="284" width="9.5703125" customWidth="1"/>
    <col min="285" max="285" width="10" customWidth="1"/>
    <col min="286" max="287" width="9.7109375" customWidth="1"/>
    <col min="288" max="288" width="9.5703125" customWidth="1"/>
    <col min="289" max="289" width="9.85546875" customWidth="1"/>
    <col min="298" max="298" width="9.5703125" customWidth="1"/>
  </cols>
  <sheetData>
    <row r="1" spans="1:298" s="147" customFormat="1" ht="79.900000000000006">
      <c r="A1" s="145" t="s">
        <v>953</v>
      </c>
      <c r="B1" s="146">
        <v>2024</v>
      </c>
      <c r="C1" s="145" t="s">
        <v>954</v>
      </c>
      <c r="D1" s="146">
        <v>45905</v>
      </c>
      <c r="E1" s="146">
        <v>45935</v>
      </c>
      <c r="F1" s="146">
        <v>45966</v>
      </c>
      <c r="G1" s="146">
        <v>45996</v>
      </c>
      <c r="H1" s="146" t="s">
        <v>955</v>
      </c>
      <c r="I1" s="146" t="s">
        <v>956</v>
      </c>
      <c r="J1" s="146" t="s">
        <v>957</v>
      </c>
      <c r="K1" s="146" t="s">
        <v>958</v>
      </c>
      <c r="L1" s="146" t="s">
        <v>959</v>
      </c>
      <c r="M1" s="146" t="s">
        <v>960</v>
      </c>
      <c r="N1" s="146" t="s">
        <v>961</v>
      </c>
      <c r="O1" s="146" t="s">
        <v>962</v>
      </c>
      <c r="P1" s="146" t="s">
        <v>963</v>
      </c>
      <c r="Q1" s="146" t="s">
        <v>964</v>
      </c>
      <c r="R1" s="146" t="s">
        <v>965</v>
      </c>
      <c r="S1" s="146" t="s">
        <v>966</v>
      </c>
      <c r="T1" s="146" t="s">
        <v>967</v>
      </c>
      <c r="U1" s="146" t="s">
        <v>968</v>
      </c>
      <c r="V1" s="146" t="s">
        <v>969</v>
      </c>
      <c r="W1" s="146" t="s">
        <v>970</v>
      </c>
      <c r="X1" s="146" t="s">
        <v>971</v>
      </c>
      <c r="Y1" s="146" t="s">
        <v>972</v>
      </c>
      <c r="Z1" s="146" t="s">
        <v>973</v>
      </c>
      <c r="AA1" s="146">
        <v>45663</v>
      </c>
      <c r="AB1" s="146">
        <v>45694</v>
      </c>
      <c r="AC1" s="146">
        <v>45722</v>
      </c>
      <c r="AD1" s="146">
        <v>45753</v>
      </c>
      <c r="AE1" s="146">
        <v>45783</v>
      </c>
      <c r="AF1" s="146">
        <v>45814</v>
      </c>
      <c r="AG1" s="146">
        <v>45844</v>
      </c>
      <c r="AH1" s="146">
        <v>45875</v>
      </c>
      <c r="AI1" s="146">
        <v>45906</v>
      </c>
      <c r="AJ1" s="146">
        <v>45936</v>
      </c>
      <c r="AK1" s="146">
        <v>45967</v>
      </c>
      <c r="AL1" s="146">
        <v>45997</v>
      </c>
      <c r="AM1" s="146" t="s">
        <v>974</v>
      </c>
      <c r="AN1" s="146" t="s">
        <v>975</v>
      </c>
      <c r="AO1" s="146" t="s">
        <v>976</v>
      </c>
      <c r="AP1" s="146" t="s">
        <v>977</v>
      </c>
      <c r="AQ1" s="146" t="s">
        <v>978</v>
      </c>
      <c r="AR1" s="146" t="s">
        <v>979</v>
      </c>
      <c r="AS1" s="146" t="s">
        <v>980</v>
      </c>
      <c r="AT1" s="146" t="s">
        <v>981</v>
      </c>
      <c r="AU1" s="146" t="s">
        <v>982</v>
      </c>
      <c r="AV1" s="146" t="s">
        <v>983</v>
      </c>
      <c r="AW1" s="146" t="s">
        <v>984</v>
      </c>
      <c r="AX1" s="146" t="s">
        <v>985</v>
      </c>
      <c r="AY1" s="146" t="s">
        <v>986</v>
      </c>
      <c r="AZ1" s="146" t="s">
        <v>987</v>
      </c>
      <c r="BA1" s="146" t="s">
        <v>988</v>
      </c>
      <c r="BB1" s="146" t="s">
        <v>989</v>
      </c>
      <c r="BC1" s="146" t="s">
        <v>990</v>
      </c>
      <c r="BD1" s="146" t="s">
        <v>991</v>
      </c>
      <c r="BE1" s="146">
        <v>45664</v>
      </c>
      <c r="BF1" s="146">
        <v>45695</v>
      </c>
      <c r="BG1" s="146">
        <v>45723</v>
      </c>
      <c r="BH1" s="146">
        <v>45754</v>
      </c>
      <c r="BI1" s="146">
        <v>45784</v>
      </c>
      <c r="BJ1" s="146">
        <v>45815</v>
      </c>
      <c r="BK1" s="146">
        <v>45845</v>
      </c>
      <c r="BL1" s="146">
        <v>45876</v>
      </c>
      <c r="BM1" s="146">
        <v>45907</v>
      </c>
      <c r="BN1" s="146">
        <v>45937</v>
      </c>
      <c r="BO1" s="146">
        <v>45968</v>
      </c>
      <c r="BP1" s="146">
        <v>45998</v>
      </c>
      <c r="BQ1" s="146" t="s">
        <v>992</v>
      </c>
      <c r="BR1" s="146" t="s">
        <v>993</v>
      </c>
      <c r="BS1" s="146" t="s">
        <v>994</v>
      </c>
      <c r="BT1" s="146" t="s">
        <v>995</v>
      </c>
      <c r="BU1" s="146" t="s">
        <v>996</v>
      </c>
      <c r="BV1" s="146" t="s">
        <v>997</v>
      </c>
      <c r="BW1" s="146" t="s">
        <v>998</v>
      </c>
      <c r="BX1" s="146" t="s">
        <v>999</v>
      </c>
      <c r="BY1" s="146" t="s">
        <v>1000</v>
      </c>
      <c r="BZ1" s="146" t="s">
        <v>1001</v>
      </c>
      <c r="CA1" s="146" t="s">
        <v>1002</v>
      </c>
      <c r="CB1" s="146" t="s">
        <v>1003</v>
      </c>
      <c r="CC1" s="146" t="s">
        <v>1004</v>
      </c>
      <c r="CD1" s="146" t="s">
        <v>1005</v>
      </c>
      <c r="CE1" s="146" t="s">
        <v>1006</v>
      </c>
      <c r="CF1" s="146" t="s">
        <v>1007</v>
      </c>
      <c r="CG1" s="146" t="s">
        <v>1008</v>
      </c>
      <c r="CH1" s="146" t="s">
        <v>1009</v>
      </c>
      <c r="CI1" s="146" t="s">
        <v>1010</v>
      </c>
      <c r="CJ1" s="146">
        <v>45665</v>
      </c>
      <c r="CK1" s="146">
        <v>45696</v>
      </c>
      <c r="CL1" s="146">
        <v>45724</v>
      </c>
      <c r="CM1" s="146">
        <v>45755</v>
      </c>
      <c r="CN1" s="146">
        <v>45785</v>
      </c>
      <c r="CO1" s="146">
        <v>45816</v>
      </c>
      <c r="CP1" s="146">
        <v>45846</v>
      </c>
      <c r="CQ1" s="146">
        <v>45877</v>
      </c>
      <c r="CR1" s="146">
        <v>45908</v>
      </c>
      <c r="CS1" s="146">
        <v>45938</v>
      </c>
      <c r="CT1" s="146">
        <v>45969</v>
      </c>
      <c r="CU1" s="146">
        <v>45999</v>
      </c>
      <c r="CV1" s="146" t="s">
        <v>1011</v>
      </c>
      <c r="CW1" s="146" t="s">
        <v>1012</v>
      </c>
      <c r="CX1" s="146" t="s">
        <v>1013</v>
      </c>
      <c r="CY1" s="146" t="s">
        <v>1014</v>
      </c>
      <c r="CZ1" s="146" t="s">
        <v>1015</v>
      </c>
      <c r="DA1" s="146" t="s">
        <v>1016</v>
      </c>
      <c r="DB1" s="146" t="s">
        <v>1017</v>
      </c>
      <c r="DC1" s="146" t="s">
        <v>1018</v>
      </c>
      <c r="DD1" s="146" t="s">
        <v>1019</v>
      </c>
      <c r="DE1" s="146" t="s">
        <v>1020</v>
      </c>
      <c r="DF1" s="146" t="s">
        <v>1021</v>
      </c>
      <c r="DG1" s="146" t="s">
        <v>1022</v>
      </c>
      <c r="DH1" s="146" t="s">
        <v>1023</v>
      </c>
      <c r="DI1" s="146" t="s">
        <v>1024</v>
      </c>
      <c r="DJ1" s="146" t="s">
        <v>1025</v>
      </c>
      <c r="DK1" s="146" t="s">
        <v>1026</v>
      </c>
      <c r="DL1" s="146" t="s">
        <v>1027</v>
      </c>
      <c r="DM1" s="146" t="s">
        <v>1028</v>
      </c>
      <c r="DN1" s="146">
        <v>45666</v>
      </c>
      <c r="DO1" s="146">
        <v>45697</v>
      </c>
      <c r="DP1" s="146">
        <v>45725</v>
      </c>
      <c r="DQ1" s="146">
        <v>45756</v>
      </c>
      <c r="DR1" s="146">
        <v>45786</v>
      </c>
      <c r="DS1" s="146">
        <v>45817</v>
      </c>
      <c r="DT1" s="146">
        <v>45907</v>
      </c>
      <c r="DU1" s="146">
        <v>45908</v>
      </c>
      <c r="DV1" s="146">
        <v>45909</v>
      </c>
      <c r="DW1" s="146">
        <v>45939</v>
      </c>
      <c r="DX1" s="146">
        <v>45970</v>
      </c>
      <c r="DY1" s="146">
        <v>46000</v>
      </c>
      <c r="DZ1" s="146" t="s">
        <v>1029</v>
      </c>
      <c r="EA1" s="146" t="s">
        <v>1030</v>
      </c>
      <c r="EB1" s="146" t="s">
        <v>1031</v>
      </c>
      <c r="EC1" s="146" t="s">
        <v>1032</v>
      </c>
      <c r="ED1" s="146" t="s">
        <v>1033</v>
      </c>
      <c r="EE1" s="146" t="s">
        <v>1034</v>
      </c>
      <c r="EF1" s="146" t="s">
        <v>1035</v>
      </c>
      <c r="EG1" s="146" t="s">
        <v>1036</v>
      </c>
      <c r="EH1" s="146" t="s">
        <v>1037</v>
      </c>
      <c r="EI1" s="146" t="s">
        <v>1038</v>
      </c>
      <c r="EJ1" s="146" t="s">
        <v>1039</v>
      </c>
      <c r="EK1" s="146" t="s">
        <v>1040</v>
      </c>
      <c r="EL1" s="146" t="s">
        <v>1041</v>
      </c>
      <c r="EM1" s="146" t="s">
        <v>1042</v>
      </c>
      <c r="EN1" s="146" t="s">
        <v>1043</v>
      </c>
      <c r="EO1" s="146" t="s">
        <v>1044</v>
      </c>
      <c r="EP1" s="146" t="s">
        <v>1045</v>
      </c>
      <c r="EQ1" s="146" t="s">
        <v>1046</v>
      </c>
      <c r="ER1" s="146">
        <v>45667</v>
      </c>
      <c r="ES1" s="146">
        <v>45698</v>
      </c>
      <c r="ET1" s="146">
        <v>45726</v>
      </c>
      <c r="EU1" s="146">
        <v>45757</v>
      </c>
      <c r="EV1" s="146">
        <v>45787</v>
      </c>
      <c r="EW1" s="146">
        <v>45818</v>
      </c>
      <c r="EX1" s="146">
        <v>45848</v>
      </c>
      <c r="EY1" s="146">
        <v>45879</v>
      </c>
      <c r="EZ1" s="146">
        <v>45910</v>
      </c>
      <c r="FA1" s="146">
        <v>45940</v>
      </c>
      <c r="FB1" s="146">
        <v>45971</v>
      </c>
      <c r="FC1" s="146">
        <v>46001</v>
      </c>
      <c r="FD1" s="146" t="s">
        <v>1047</v>
      </c>
      <c r="FE1" s="146" t="s">
        <v>1048</v>
      </c>
      <c r="FF1" s="146" t="s">
        <v>1049</v>
      </c>
      <c r="FG1" s="146" t="s">
        <v>1050</v>
      </c>
      <c r="FH1" s="146" t="s">
        <v>1051</v>
      </c>
      <c r="FI1" s="146" t="s">
        <v>1052</v>
      </c>
      <c r="FJ1" s="146" t="s">
        <v>1053</v>
      </c>
      <c r="FK1" s="146" t="s">
        <v>1054</v>
      </c>
      <c r="FL1" s="146" t="s">
        <v>1055</v>
      </c>
      <c r="FM1" s="146" t="s">
        <v>1056</v>
      </c>
      <c r="FN1" s="146" t="s">
        <v>1057</v>
      </c>
      <c r="FO1" s="146" t="s">
        <v>1058</v>
      </c>
      <c r="FP1" s="146" t="s">
        <v>1059</v>
      </c>
      <c r="FQ1" s="146" t="s">
        <v>1060</v>
      </c>
      <c r="FR1" s="146" t="s">
        <v>1061</v>
      </c>
      <c r="FS1" s="146" t="s">
        <v>1062</v>
      </c>
      <c r="FT1" s="146" t="s">
        <v>1063</v>
      </c>
      <c r="FU1" s="146" t="s">
        <v>1064</v>
      </c>
      <c r="FV1" s="146" t="s">
        <v>1065</v>
      </c>
      <c r="FW1" s="146">
        <v>45668</v>
      </c>
      <c r="FX1" s="146">
        <v>45699</v>
      </c>
      <c r="FY1" s="146">
        <v>45727</v>
      </c>
      <c r="FZ1" s="146">
        <v>45758</v>
      </c>
      <c r="GA1" s="146">
        <v>45788</v>
      </c>
      <c r="GB1" s="146">
        <v>45819</v>
      </c>
      <c r="GC1" s="146">
        <v>45849</v>
      </c>
      <c r="GD1" s="146">
        <v>45880</v>
      </c>
      <c r="GE1" s="146">
        <v>45911</v>
      </c>
      <c r="GF1" s="146">
        <v>45941</v>
      </c>
      <c r="GG1" s="146">
        <v>45972</v>
      </c>
      <c r="GH1" s="146">
        <v>46002</v>
      </c>
      <c r="GI1" s="146" t="s">
        <v>1066</v>
      </c>
      <c r="GJ1" s="146" t="s">
        <v>1067</v>
      </c>
      <c r="GK1" s="146" t="s">
        <v>1068</v>
      </c>
      <c r="GL1" s="146" t="s">
        <v>1069</v>
      </c>
      <c r="GM1" s="146" t="s">
        <v>1070</v>
      </c>
      <c r="GN1" s="146" t="s">
        <v>1071</v>
      </c>
      <c r="GO1" s="146" t="s">
        <v>1072</v>
      </c>
      <c r="GP1" s="146" t="s">
        <v>1073</v>
      </c>
      <c r="GQ1" s="146" t="s">
        <v>1074</v>
      </c>
      <c r="GR1" s="147" t="s">
        <v>1075</v>
      </c>
      <c r="GS1" s="147" t="s">
        <v>1076</v>
      </c>
      <c r="GT1" s="147" t="s">
        <v>1077</v>
      </c>
      <c r="GU1" s="147" t="s">
        <v>1078</v>
      </c>
      <c r="GV1" s="147" t="s">
        <v>1079</v>
      </c>
      <c r="GW1" s="147" t="s">
        <v>1080</v>
      </c>
      <c r="GX1" s="147" t="s">
        <v>1074</v>
      </c>
      <c r="GY1" s="147" t="s">
        <v>1078</v>
      </c>
      <c r="GZ1" s="147" t="s">
        <v>1081</v>
      </c>
      <c r="HA1" s="148" t="s">
        <v>1082</v>
      </c>
      <c r="HB1" s="144" t="s">
        <v>1083</v>
      </c>
      <c r="HC1" s="144" t="s">
        <v>1084</v>
      </c>
      <c r="HD1" s="144" t="s">
        <v>1085</v>
      </c>
      <c r="HE1" s="144" t="s">
        <v>1086</v>
      </c>
      <c r="HF1" s="144" t="s">
        <v>1087</v>
      </c>
      <c r="HG1" s="144" t="s">
        <v>1088</v>
      </c>
      <c r="HH1" s="144" t="s">
        <v>1089</v>
      </c>
      <c r="HI1" s="144" t="s">
        <v>1090</v>
      </c>
      <c r="HJ1" s="144" t="s">
        <v>1091</v>
      </c>
      <c r="HK1" s="147" t="s">
        <v>1092</v>
      </c>
      <c r="HL1" s="147" t="s">
        <v>1093</v>
      </c>
      <c r="HM1" s="150" t="s">
        <v>1094</v>
      </c>
      <c r="HN1" s="149" t="s">
        <v>1095</v>
      </c>
      <c r="HO1" s="149" t="s">
        <v>1096</v>
      </c>
      <c r="HP1" s="149" t="s">
        <v>1097</v>
      </c>
      <c r="HQ1" s="147" t="s">
        <v>1098</v>
      </c>
      <c r="HR1" s="147" t="s">
        <v>1099</v>
      </c>
      <c r="HS1" s="147" t="s">
        <v>1100</v>
      </c>
      <c r="HT1" s="147" t="s">
        <v>1101</v>
      </c>
      <c r="HU1" s="147" t="s">
        <v>1102</v>
      </c>
      <c r="HV1" s="147" t="s">
        <v>1103</v>
      </c>
      <c r="HW1" s="147" t="s">
        <v>1104</v>
      </c>
      <c r="HX1" s="147" t="s">
        <v>1105</v>
      </c>
      <c r="HY1" s="147" t="s">
        <v>1106</v>
      </c>
      <c r="HZ1" s="147" t="s">
        <v>1107</v>
      </c>
      <c r="IA1" s="147" t="s">
        <v>1108</v>
      </c>
      <c r="IB1" s="147" t="s">
        <v>1109</v>
      </c>
      <c r="IC1" s="147" t="s">
        <v>1110</v>
      </c>
      <c r="ID1" s="147" t="s">
        <v>1111</v>
      </c>
      <c r="IE1" s="147" t="s">
        <v>1112</v>
      </c>
      <c r="IF1" s="147" t="s">
        <v>1113</v>
      </c>
      <c r="IG1" s="147" t="s">
        <v>1114</v>
      </c>
      <c r="IH1" s="147" t="s">
        <v>1115</v>
      </c>
      <c r="II1" s="147" t="s">
        <v>1116</v>
      </c>
      <c r="IJ1" s="147" t="s">
        <v>1117</v>
      </c>
      <c r="IK1" s="147" t="s">
        <v>1118</v>
      </c>
      <c r="IL1" s="147" t="s">
        <v>1119</v>
      </c>
      <c r="IM1" s="147" t="s">
        <v>1120</v>
      </c>
      <c r="IN1" s="147" t="s">
        <v>1121</v>
      </c>
      <c r="IO1" s="147" t="s">
        <v>1122</v>
      </c>
      <c r="IP1" s="147" t="s">
        <v>1123</v>
      </c>
      <c r="IQ1" s="147" t="s">
        <v>1124</v>
      </c>
      <c r="IR1" s="147" t="s">
        <v>1125</v>
      </c>
      <c r="IS1" s="147" t="s">
        <v>1126</v>
      </c>
      <c r="IT1" s="147" t="s">
        <v>1127</v>
      </c>
      <c r="IU1" s="147" t="s">
        <v>1128</v>
      </c>
      <c r="IV1" s="147" t="s">
        <v>1129</v>
      </c>
      <c r="IW1" s="177">
        <v>46114</v>
      </c>
      <c r="IX1" s="179">
        <v>46144</v>
      </c>
      <c r="IY1" s="179">
        <v>46175</v>
      </c>
      <c r="IZ1" s="179">
        <v>46267</v>
      </c>
      <c r="JA1" s="179">
        <v>46297</v>
      </c>
      <c r="JB1" s="179">
        <v>46328</v>
      </c>
      <c r="JC1" s="179">
        <v>46358</v>
      </c>
      <c r="JD1" s="178" t="s">
        <v>1130</v>
      </c>
      <c r="JE1" s="147" t="s">
        <v>1131</v>
      </c>
      <c r="JF1" s="147" t="s">
        <v>1132</v>
      </c>
      <c r="JG1" s="147" t="s">
        <v>1133</v>
      </c>
      <c r="JH1" s="147" t="s">
        <v>1134</v>
      </c>
      <c r="JI1" s="147" t="s">
        <v>1135</v>
      </c>
      <c r="JJ1" s="147" t="s">
        <v>1136</v>
      </c>
      <c r="JK1" s="147" t="s">
        <v>1137</v>
      </c>
      <c r="JL1" s="147" t="s">
        <v>1138</v>
      </c>
      <c r="JM1" s="147" t="s">
        <v>1139</v>
      </c>
      <c r="JN1" s="147" t="s">
        <v>1140</v>
      </c>
      <c r="JO1" s="147" t="s">
        <v>1141</v>
      </c>
      <c r="JP1" s="147" t="s">
        <v>1142</v>
      </c>
      <c r="JQ1" s="147" t="s">
        <v>1143</v>
      </c>
      <c r="JR1" s="147" t="s">
        <v>1144</v>
      </c>
      <c r="JS1" s="147" t="s">
        <v>1145</v>
      </c>
      <c r="JT1" s="147" t="s">
        <v>1146</v>
      </c>
      <c r="JU1" s="147" t="s">
        <v>1147</v>
      </c>
      <c r="JV1" s="147" t="s">
        <v>1148</v>
      </c>
      <c r="JW1" s="147" t="s">
        <v>1149</v>
      </c>
      <c r="JX1" s="147" t="s">
        <v>1150</v>
      </c>
      <c r="JY1" s="147" t="s">
        <v>1151</v>
      </c>
      <c r="JZ1" s="147" t="s">
        <v>1152</v>
      </c>
      <c r="KA1" s="147" t="s">
        <v>1153</v>
      </c>
      <c r="KB1" s="147" t="s">
        <v>1154</v>
      </c>
      <c r="KC1" s="147" t="s">
        <v>1155</v>
      </c>
      <c r="KD1" s="147" t="s">
        <v>1156</v>
      </c>
      <c r="KE1" s="147" t="s">
        <v>1157</v>
      </c>
      <c r="KF1" s="147" t="s">
        <v>1158</v>
      </c>
      <c r="KG1" s="147" t="s">
        <v>1159</v>
      </c>
      <c r="KH1" s="147" t="s">
        <v>1160</v>
      </c>
      <c r="KI1" s="147" t="s">
        <v>1161</v>
      </c>
      <c r="KJ1" s="147" t="s">
        <v>1162</v>
      </c>
      <c r="KK1" s="147" t="s">
        <v>1163</v>
      </c>
      <c r="KL1" s="147" t="s">
        <v>1164</v>
      </c>
    </row>
    <row r="2" spans="1:298" s="112" customFormat="1">
      <c r="A2" s="110" t="s">
        <v>1165</v>
      </c>
      <c r="B2" s="111">
        <v>688</v>
      </c>
      <c r="C2" s="111">
        <v>1652</v>
      </c>
      <c r="D2" s="111">
        <v>184</v>
      </c>
      <c r="E2" s="111">
        <v>0</v>
      </c>
      <c r="F2" s="111">
        <v>0</v>
      </c>
      <c r="G2" s="111">
        <v>92</v>
      </c>
      <c r="H2" s="111">
        <v>89</v>
      </c>
      <c r="I2" s="111">
        <v>86</v>
      </c>
      <c r="J2" s="111">
        <v>89</v>
      </c>
      <c r="K2" s="111">
        <v>84</v>
      </c>
      <c r="L2" s="111">
        <v>0</v>
      </c>
      <c r="M2" s="111">
        <v>0</v>
      </c>
      <c r="N2" s="111">
        <v>176</v>
      </c>
      <c r="O2" s="111">
        <v>182</v>
      </c>
      <c r="P2" s="111">
        <v>91</v>
      </c>
      <c r="Q2" s="111">
        <v>182</v>
      </c>
      <c r="R2" s="111">
        <v>183</v>
      </c>
      <c r="S2" s="111">
        <v>0</v>
      </c>
      <c r="T2" s="111">
        <v>183</v>
      </c>
      <c r="U2" s="111">
        <v>91</v>
      </c>
      <c r="V2" s="111">
        <v>180</v>
      </c>
      <c r="W2" s="111">
        <v>92</v>
      </c>
      <c r="X2" s="111">
        <v>167</v>
      </c>
      <c r="Y2" s="111">
        <v>179</v>
      </c>
      <c r="Z2" s="111">
        <v>0</v>
      </c>
      <c r="AA2" s="111">
        <v>0</v>
      </c>
      <c r="AB2" s="111">
        <v>90</v>
      </c>
      <c r="AC2" s="111">
        <v>183</v>
      </c>
      <c r="AD2" s="111">
        <v>87</v>
      </c>
      <c r="AE2" s="111">
        <v>182</v>
      </c>
      <c r="AF2" s="111">
        <v>91</v>
      </c>
      <c r="AG2" s="111">
        <v>0</v>
      </c>
      <c r="AH2" s="111">
        <v>0</v>
      </c>
      <c r="AI2" s="111">
        <v>292</v>
      </c>
      <c r="AJ2" s="111">
        <v>180</v>
      </c>
      <c r="AK2" s="111">
        <v>145</v>
      </c>
      <c r="AL2" s="111">
        <v>174</v>
      </c>
      <c r="AM2" s="111">
        <v>86</v>
      </c>
      <c r="AN2" s="111">
        <v>0</v>
      </c>
      <c r="AO2" s="111">
        <v>338</v>
      </c>
      <c r="AP2" s="111">
        <v>160</v>
      </c>
      <c r="AQ2" s="111">
        <v>180</v>
      </c>
      <c r="AR2" s="111">
        <v>265</v>
      </c>
      <c r="AS2" s="111">
        <v>162</v>
      </c>
      <c r="AT2" s="111">
        <v>174</v>
      </c>
      <c r="AU2" s="111">
        <v>0</v>
      </c>
      <c r="AV2" s="111">
        <v>429</v>
      </c>
      <c r="AW2" s="111">
        <v>178</v>
      </c>
      <c r="AX2" s="111">
        <v>179</v>
      </c>
      <c r="AY2" s="111">
        <v>193</v>
      </c>
      <c r="AZ2" s="111">
        <v>175</v>
      </c>
      <c r="BA2" s="111">
        <v>166</v>
      </c>
      <c r="BB2" s="111">
        <v>0</v>
      </c>
      <c r="BC2" s="111">
        <v>0</v>
      </c>
      <c r="BD2" s="111">
        <v>356</v>
      </c>
      <c r="BE2" s="111">
        <v>265</v>
      </c>
      <c r="BF2" s="111">
        <v>86</v>
      </c>
      <c r="BG2" s="111">
        <v>179</v>
      </c>
      <c r="BH2" s="111">
        <v>0</v>
      </c>
      <c r="BI2" s="111">
        <v>0</v>
      </c>
      <c r="BJ2" s="111">
        <v>120</v>
      </c>
      <c r="BK2" s="111">
        <v>0</v>
      </c>
      <c r="BL2" s="111">
        <v>15</v>
      </c>
      <c r="BM2" s="111">
        <v>39</v>
      </c>
      <c r="BN2" s="111">
        <v>0</v>
      </c>
      <c r="BO2" s="111">
        <v>174</v>
      </c>
      <c r="BP2" s="111">
        <v>0</v>
      </c>
      <c r="BQ2" s="111">
        <v>0</v>
      </c>
      <c r="BR2" s="111">
        <v>457</v>
      </c>
      <c r="BS2" s="111">
        <v>176</v>
      </c>
      <c r="BT2" s="111">
        <v>266</v>
      </c>
      <c r="BU2" s="111">
        <v>175</v>
      </c>
      <c r="BV2" s="111">
        <v>86</v>
      </c>
      <c r="BW2" s="111">
        <v>0</v>
      </c>
      <c r="BX2" s="111">
        <v>200</v>
      </c>
      <c r="BY2" s="111">
        <v>461</v>
      </c>
      <c r="BZ2" s="111">
        <v>257</v>
      </c>
      <c r="CA2" s="111">
        <v>432</v>
      </c>
      <c r="CB2" s="111">
        <v>176</v>
      </c>
      <c r="CC2" s="111">
        <v>0</v>
      </c>
      <c r="CD2" s="111">
        <v>0</v>
      </c>
      <c r="CE2" s="111">
        <v>304</v>
      </c>
      <c r="CF2" s="111">
        <v>304</v>
      </c>
      <c r="CG2" s="111">
        <v>88</v>
      </c>
      <c r="CH2" s="111">
        <v>175</v>
      </c>
      <c r="CI2" s="111">
        <v>178</v>
      </c>
      <c r="CJ2" s="111">
        <v>263</v>
      </c>
      <c r="CK2" s="111">
        <v>0</v>
      </c>
      <c r="CL2" s="111">
        <v>0</v>
      </c>
      <c r="CM2" s="111">
        <v>427</v>
      </c>
      <c r="CN2" s="111">
        <v>350</v>
      </c>
      <c r="CO2" s="111">
        <v>176</v>
      </c>
      <c r="CP2" s="111">
        <v>267</v>
      </c>
      <c r="CQ2" s="111">
        <v>176</v>
      </c>
      <c r="CR2" s="111">
        <v>0</v>
      </c>
      <c r="CS2" s="111">
        <v>0</v>
      </c>
      <c r="CT2" s="111">
        <v>308</v>
      </c>
      <c r="CU2" s="111">
        <v>172</v>
      </c>
      <c r="CV2" s="111">
        <v>0</v>
      </c>
      <c r="CW2" s="111">
        <v>175</v>
      </c>
      <c r="CX2" s="111">
        <v>0</v>
      </c>
      <c r="CY2" s="111">
        <v>0</v>
      </c>
      <c r="CZ2" s="111">
        <v>0</v>
      </c>
      <c r="DA2" s="111">
        <v>0</v>
      </c>
      <c r="DB2" s="111">
        <v>174</v>
      </c>
      <c r="DC2" s="111">
        <v>280</v>
      </c>
      <c r="DD2" s="111">
        <v>87</v>
      </c>
      <c r="DE2" s="111">
        <v>259</v>
      </c>
      <c r="DF2" s="111"/>
      <c r="DG2" s="111"/>
      <c r="DH2" s="111">
        <v>88</v>
      </c>
      <c r="DI2" s="111">
        <v>260</v>
      </c>
      <c r="DJ2" s="111">
        <v>258</v>
      </c>
      <c r="DK2" s="111">
        <v>261</v>
      </c>
      <c r="DL2" s="111">
        <v>251</v>
      </c>
      <c r="DM2" s="111"/>
      <c r="DN2" s="111"/>
      <c r="DO2" s="111"/>
      <c r="DP2" s="111">
        <v>169</v>
      </c>
      <c r="DQ2" s="111">
        <v>0</v>
      </c>
      <c r="DR2" s="111">
        <v>345</v>
      </c>
      <c r="DS2" s="111"/>
      <c r="DT2" s="111"/>
      <c r="DU2" s="111"/>
      <c r="DV2" s="111"/>
      <c r="DW2" s="111">
        <v>83</v>
      </c>
      <c r="DX2" s="111">
        <v>255</v>
      </c>
      <c r="DY2" s="111">
        <v>88</v>
      </c>
      <c r="DZ2" s="111"/>
      <c r="EA2" s="111"/>
      <c r="EB2" s="111"/>
      <c r="EC2" s="111"/>
      <c r="ED2" s="111"/>
      <c r="EE2" s="111"/>
      <c r="EF2" s="111">
        <v>262</v>
      </c>
      <c r="EG2" s="111"/>
      <c r="EH2" s="111"/>
      <c r="EI2" s="111">
        <v>257</v>
      </c>
      <c r="EJ2" s="111"/>
      <c r="EK2" s="111">
        <v>84</v>
      </c>
      <c r="EL2" s="111">
        <v>71</v>
      </c>
      <c r="EM2" s="111">
        <v>83</v>
      </c>
      <c r="EN2" s="111"/>
      <c r="EO2" s="111"/>
      <c r="EP2" s="111">
        <v>83</v>
      </c>
      <c r="EQ2" s="111">
        <v>256</v>
      </c>
      <c r="ER2" s="111">
        <v>86</v>
      </c>
      <c r="ES2" s="111">
        <v>259</v>
      </c>
      <c r="ET2" s="111"/>
      <c r="EU2" s="111">
        <v>0</v>
      </c>
      <c r="EV2" s="111">
        <v>0</v>
      </c>
      <c r="EW2" s="111">
        <v>264</v>
      </c>
      <c r="EX2" s="111">
        <v>0</v>
      </c>
      <c r="EY2" s="111">
        <v>265</v>
      </c>
      <c r="EZ2" s="111">
        <v>86</v>
      </c>
      <c r="FA2" s="111">
        <v>438</v>
      </c>
      <c r="FB2" s="111"/>
      <c r="FC2" s="111"/>
      <c r="FD2" s="111"/>
      <c r="FE2" s="111">
        <v>263</v>
      </c>
      <c r="FF2" s="111"/>
      <c r="FG2" s="111">
        <v>86</v>
      </c>
      <c r="FH2" s="111">
        <v>82</v>
      </c>
      <c r="FI2" s="111"/>
      <c r="FJ2" s="111"/>
      <c r="FK2" s="111">
        <v>261</v>
      </c>
      <c r="FL2" s="111">
        <v>0</v>
      </c>
      <c r="FM2" s="111">
        <v>261</v>
      </c>
      <c r="FN2" s="111">
        <v>0</v>
      </c>
      <c r="FO2" s="111">
        <v>349</v>
      </c>
      <c r="FP2" s="111"/>
      <c r="FQ2" s="111"/>
      <c r="FR2" s="111"/>
      <c r="FS2" s="111">
        <v>178</v>
      </c>
      <c r="FT2" s="111">
        <v>265</v>
      </c>
      <c r="FU2" s="111">
        <v>194</v>
      </c>
      <c r="FV2" s="111">
        <v>271</v>
      </c>
      <c r="FW2" s="111"/>
      <c r="FX2" s="111"/>
      <c r="FY2" s="111">
        <v>100</v>
      </c>
      <c r="FZ2" s="111">
        <v>262</v>
      </c>
      <c r="GA2" s="111"/>
      <c r="GB2" s="111">
        <v>351</v>
      </c>
      <c r="GC2" s="111">
        <v>252</v>
      </c>
      <c r="GD2" s="111"/>
      <c r="GE2" s="111"/>
      <c r="GF2" s="111">
        <v>258</v>
      </c>
      <c r="GG2" s="111">
        <v>172</v>
      </c>
      <c r="GH2" s="111">
        <v>172</v>
      </c>
      <c r="GI2" s="111">
        <v>176</v>
      </c>
      <c r="GJ2" s="111">
        <v>179</v>
      </c>
      <c r="GK2" s="111">
        <v>0</v>
      </c>
      <c r="GL2" s="111">
        <v>0</v>
      </c>
      <c r="GM2" s="111">
        <v>0</v>
      </c>
      <c r="GN2" s="111">
        <v>350</v>
      </c>
      <c r="GO2" s="111">
        <v>260</v>
      </c>
      <c r="GP2" s="111">
        <v>89</v>
      </c>
      <c r="GQ2" s="111">
        <v>348</v>
      </c>
      <c r="GR2" s="112">
        <v>0</v>
      </c>
      <c r="GS2" s="112">
        <v>0</v>
      </c>
      <c r="GT2" s="112">
        <v>172</v>
      </c>
      <c r="GU2" s="112">
        <v>177</v>
      </c>
      <c r="GV2" s="112">
        <v>0</v>
      </c>
      <c r="GW2" s="112">
        <v>0</v>
      </c>
      <c r="GZ2" s="112">
        <v>446</v>
      </c>
      <c r="HA2" s="112">
        <v>262</v>
      </c>
      <c r="HB2" s="112">
        <v>177</v>
      </c>
      <c r="HC2" s="112">
        <v>0</v>
      </c>
      <c r="HD2" s="112">
        <v>441</v>
      </c>
      <c r="HE2" s="112">
        <v>352</v>
      </c>
      <c r="HF2" s="112">
        <v>177</v>
      </c>
      <c r="HG2" s="112">
        <v>261</v>
      </c>
      <c r="HH2" s="112">
        <v>0</v>
      </c>
      <c r="HI2" s="112">
        <v>266</v>
      </c>
      <c r="HJ2" s="112">
        <v>179</v>
      </c>
      <c r="HK2" s="112">
        <v>0</v>
      </c>
      <c r="HL2" s="112">
        <v>0</v>
      </c>
      <c r="HM2" s="112">
        <v>255</v>
      </c>
      <c r="HN2" s="151">
        <v>176</v>
      </c>
      <c r="HO2" s="151">
        <v>264</v>
      </c>
      <c r="HP2" s="112">
        <v>263</v>
      </c>
      <c r="HQ2" s="112">
        <v>268</v>
      </c>
      <c r="HR2" s="112">
        <v>265</v>
      </c>
      <c r="HS2" s="112">
        <v>262</v>
      </c>
      <c r="HT2" s="112">
        <v>0</v>
      </c>
      <c r="HU2" s="112">
        <v>84</v>
      </c>
      <c r="HV2" s="112">
        <v>261</v>
      </c>
      <c r="HW2" s="112">
        <v>346</v>
      </c>
      <c r="HX2" s="112">
        <v>258</v>
      </c>
      <c r="HY2" s="112">
        <v>266</v>
      </c>
      <c r="HZ2" s="112">
        <v>0</v>
      </c>
      <c r="IA2" s="112">
        <v>0</v>
      </c>
      <c r="IB2" s="112">
        <v>79</v>
      </c>
      <c r="IC2" s="112">
        <v>168</v>
      </c>
      <c r="ID2" s="112">
        <v>174</v>
      </c>
      <c r="IE2" s="112">
        <v>174</v>
      </c>
      <c r="IF2" s="112">
        <v>267</v>
      </c>
      <c r="IG2" s="112">
        <v>0</v>
      </c>
      <c r="IH2" s="112">
        <v>230</v>
      </c>
      <c r="II2" s="112">
        <v>261</v>
      </c>
      <c r="IJ2" s="112">
        <v>170</v>
      </c>
      <c r="IK2" s="112">
        <v>263</v>
      </c>
      <c r="IL2" s="112">
        <v>258</v>
      </c>
      <c r="IM2" s="112">
        <v>265</v>
      </c>
      <c r="IN2" s="112">
        <v>177</v>
      </c>
      <c r="IO2" s="112">
        <v>87</v>
      </c>
      <c r="IP2" s="112">
        <v>0</v>
      </c>
      <c r="IQ2" s="112">
        <v>0</v>
      </c>
      <c r="IR2" s="112">
        <v>249</v>
      </c>
      <c r="IS2" s="112">
        <v>263</v>
      </c>
      <c r="IT2" s="112">
        <v>312</v>
      </c>
      <c r="IU2" s="112">
        <v>89</v>
      </c>
      <c r="IV2" s="112">
        <v>265</v>
      </c>
      <c r="IW2" s="112">
        <v>179</v>
      </c>
      <c r="IX2" s="112">
        <v>0</v>
      </c>
      <c r="IY2" s="112">
        <v>171</v>
      </c>
      <c r="IZ2" s="112">
        <v>86</v>
      </c>
      <c r="JA2" s="112">
        <v>175</v>
      </c>
      <c r="JB2" s="112">
        <v>173</v>
      </c>
      <c r="JC2" s="112">
        <v>89</v>
      </c>
      <c r="JD2" s="112">
        <v>0</v>
      </c>
      <c r="JE2" s="112">
        <v>0</v>
      </c>
      <c r="JF2" s="112">
        <v>0</v>
      </c>
      <c r="JG2" s="112">
        <v>0</v>
      </c>
      <c r="JH2" s="112">
        <v>265</v>
      </c>
      <c r="JI2" s="112">
        <v>263</v>
      </c>
      <c r="JJ2" s="112">
        <v>0</v>
      </c>
      <c r="JK2" s="112">
        <v>0</v>
      </c>
      <c r="JL2" s="112">
        <v>263</v>
      </c>
      <c r="JM2" s="112">
        <v>87</v>
      </c>
      <c r="JN2" s="112">
        <v>259</v>
      </c>
      <c r="JO2" s="112">
        <v>0</v>
      </c>
      <c r="JP2" s="112">
        <v>351</v>
      </c>
      <c r="JQ2" s="112">
        <v>349</v>
      </c>
      <c r="JR2" s="112">
        <v>260</v>
      </c>
      <c r="JS2" s="112">
        <v>347</v>
      </c>
      <c r="JT2" s="112">
        <v>358</v>
      </c>
      <c r="JU2" s="112">
        <v>177</v>
      </c>
      <c r="JV2" s="112">
        <v>264</v>
      </c>
      <c r="JW2" s="112">
        <v>266</v>
      </c>
      <c r="JX2" s="112">
        <v>352</v>
      </c>
      <c r="JY2" s="112">
        <v>438</v>
      </c>
      <c r="JZ2" s="112">
        <v>0</v>
      </c>
      <c r="KA2" s="112">
        <v>343</v>
      </c>
      <c r="KB2" s="112">
        <v>0</v>
      </c>
      <c r="KC2" s="112">
        <v>958</v>
      </c>
      <c r="KD2" s="112">
        <v>0</v>
      </c>
      <c r="KE2" s="112">
        <v>0</v>
      </c>
      <c r="KF2" s="112">
        <v>1056</v>
      </c>
      <c r="KG2" s="112">
        <v>888</v>
      </c>
      <c r="KH2" s="112">
        <v>0</v>
      </c>
      <c r="KI2" s="112">
        <v>87</v>
      </c>
      <c r="KJ2" s="112">
        <v>630</v>
      </c>
    </row>
    <row r="3" spans="1:298" s="217" customFormat="1">
      <c r="A3" s="217" t="s">
        <v>570</v>
      </c>
      <c r="GX3" s="217">
        <v>86</v>
      </c>
      <c r="GY3" s="217">
        <v>89</v>
      </c>
      <c r="GZ3" s="217">
        <v>357</v>
      </c>
      <c r="HA3" s="217">
        <v>262</v>
      </c>
      <c r="HB3" s="217">
        <v>177</v>
      </c>
      <c r="HC3" s="217">
        <v>0</v>
      </c>
      <c r="HD3" s="217">
        <v>441</v>
      </c>
      <c r="HE3" s="217">
        <v>441</v>
      </c>
      <c r="HF3" s="217">
        <v>177</v>
      </c>
      <c r="HG3" s="217">
        <v>261</v>
      </c>
      <c r="HH3" s="217">
        <v>0</v>
      </c>
      <c r="HI3" s="217">
        <v>266</v>
      </c>
      <c r="HJ3" s="217">
        <v>179</v>
      </c>
      <c r="HK3" s="217">
        <v>0</v>
      </c>
      <c r="HL3" s="217">
        <v>0</v>
      </c>
      <c r="HM3" s="217">
        <v>255</v>
      </c>
      <c r="HN3" s="217">
        <f>88+88</f>
        <v>176</v>
      </c>
      <c r="HO3" s="217">
        <v>264</v>
      </c>
      <c r="HP3" s="217">
        <v>263</v>
      </c>
      <c r="HQ3" s="217">
        <v>268</v>
      </c>
      <c r="HR3" s="217">
        <v>265</v>
      </c>
      <c r="HS3" s="217">
        <v>262</v>
      </c>
      <c r="HT3" s="217">
        <v>0</v>
      </c>
      <c r="HU3" s="217">
        <v>84</v>
      </c>
      <c r="HV3" s="217">
        <v>261</v>
      </c>
      <c r="HW3" s="217">
        <v>346</v>
      </c>
      <c r="HX3" s="217">
        <v>258</v>
      </c>
      <c r="HY3" s="217">
        <v>266</v>
      </c>
      <c r="HZ3" s="217">
        <v>0</v>
      </c>
      <c r="IA3" s="217">
        <v>0</v>
      </c>
      <c r="IB3" s="217">
        <v>79</v>
      </c>
      <c r="IC3" s="217">
        <v>168</v>
      </c>
      <c r="ID3" s="217">
        <v>174</v>
      </c>
      <c r="IE3" s="217">
        <v>174</v>
      </c>
      <c r="IF3" s="217">
        <v>267</v>
      </c>
      <c r="IG3" s="217">
        <v>0</v>
      </c>
      <c r="IH3" s="217">
        <v>174</v>
      </c>
      <c r="II3" s="217">
        <v>261</v>
      </c>
      <c r="IJ3" s="217">
        <v>170</v>
      </c>
      <c r="IK3" s="217">
        <v>263</v>
      </c>
      <c r="IL3" s="217">
        <v>258</v>
      </c>
      <c r="IM3" s="217">
        <v>265</v>
      </c>
      <c r="IN3" s="217">
        <v>177</v>
      </c>
      <c r="IO3" s="217">
        <v>87</v>
      </c>
      <c r="IP3" s="217">
        <v>0</v>
      </c>
      <c r="IQ3" s="217">
        <v>0</v>
      </c>
      <c r="IR3" s="217">
        <v>171</v>
      </c>
      <c r="IS3" s="217">
        <v>263</v>
      </c>
      <c r="IT3" s="217">
        <v>263</v>
      </c>
      <c r="IU3" s="217">
        <v>89</v>
      </c>
      <c r="IV3" s="217">
        <v>265</v>
      </c>
      <c r="JA3" s="217">
        <v>175</v>
      </c>
      <c r="JH3" s="217">
        <v>87</v>
      </c>
      <c r="JJ3" s="217">
        <v>0</v>
      </c>
      <c r="JK3" s="217">
        <v>0</v>
      </c>
    </row>
    <row r="4" spans="1:298" s="132" customFormat="1">
      <c r="A4" s="132" t="s">
        <v>1166</v>
      </c>
      <c r="IW4" s="217">
        <v>179</v>
      </c>
      <c r="IX4" s="132">
        <v>0</v>
      </c>
      <c r="IY4" s="217">
        <v>171</v>
      </c>
      <c r="IZ4" s="217">
        <v>86</v>
      </c>
      <c r="JA4" s="217"/>
      <c r="JB4" s="217">
        <v>173</v>
      </c>
      <c r="JC4" s="217">
        <v>89</v>
      </c>
      <c r="JD4" s="132">
        <v>0</v>
      </c>
      <c r="JE4" s="132">
        <v>0</v>
      </c>
      <c r="JF4" s="132">
        <v>0</v>
      </c>
      <c r="JG4" s="132">
        <v>0</v>
      </c>
      <c r="JH4" s="132">
        <v>178</v>
      </c>
      <c r="JI4" s="132">
        <v>263</v>
      </c>
      <c r="JJ4" s="132">
        <v>0</v>
      </c>
      <c r="JK4" s="132">
        <v>0</v>
      </c>
      <c r="JL4" s="132">
        <v>263</v>
      </c>
      <c r="JM4" s="132">
        <v>87</v>
      </c>
      <c r="JN4" s="132">
        <v>259</v>
      </c>
      <c r="JO4" s="132">
        <v>0</v>
      </c>
      <c r="JP4" s="132">
        <v>351</v>
      </c>
      <c r="JQ4" s="132">
        <v>349</v>
      </c>
      <c r="JR4" s="132">
        <v>260</v>
      </c>
      <c r="JS4" s="132">
        <v>347</v>
      </c>
      <c r="JT4" s="132">
        <v>358</v>
      </c>
      <c r="JU4" s="132">
        <v>177</v>
      </c>
      <c r="JV4" s="132">
        <v>264</v>
      </c>
      <c r="JW4" s="132">
        <v>266</v>
      </c>
      <c r="JX4" s="132">
        <v>352</v>
      </c>
      <c r="JY4" s="132">
        <v>438</v>
      </c>
      <c r="JZ4" s="132">
        <v>0</v>
      </c>
      <c r="KA4" s="132">
        <v>343</v>
      </c>
      <c r="KB4" s="132">
        <v>0</v>
      </c>
      <c r="KC4" s="132">
        <v>958</v>
      </c>
      <c r="KD4" s="132">
        <v>0</v>
      </c>
      <c r="KE4" s="132">
        <v>0</v>
      </c>
      <c r="KF4" s="132">
        <v>1056</v>
      </c>
      <c r="KG4" s="132">
        <v>888</v>
      </c>
      <c r="KH4" s="132">
        <v>0</v>
      </c>
      <c r="KI4" s="132">
        <v>87</v>
      </c>
      <c r="KJ4" s="132">
        <v>630</v>
      </c>
    </row>
    <row r="5" spans="1:298">
      <c r="A5" t="s">
        <v>1167</v>
      </c>
      <c r="IH5">
        <v>57</v>
      </c>
      <c r="IR5">
        <v>75</v>
      </c>
      <c r="IT5">
        <v>49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548B-23C3-4149-8A01-7DF3E8B7F780}">
  <sheetPr>
    <tabColor rgb="FFFFFF00"/>
  </sheetPr>
  <dimension ref="A1:C6"/>
  <sheetViews>
    <sheetView workbookViewId="0">
      <selection activeCell="A17" sqref="A17"/>
    </sheetView>
  </sheetViews>
  <sheetFormatPr defaultRowHeight="15"/>
  <cols>
    <col min="2" max="2" width="35.42578125" bestFit="1" customWidth="1"/>
  </cols>
  <sheetData>
    <row r="1" spans="1:3">
      <c r="A1" s="221" t="s">
        <v>1168</v>
      </c>
      <c r="B1" t="s">
        <v>1169</v>
      </c>
      <c r="C1" t="s">
        <v>1167</v>
      </c>
    </row>
    <row r="2" spans="1:3">
      <c r="A2" s="224" t="s">
        <v>1170</v>
      </c>
      <c r="B2" s="225">
        <f>SUM(B3:B6)</f>
        <v>46185</v>
      </c>
      <c r="C2" s="225">
        <f>SUM(C3:C6)</f>
        <v>2251</v>
      </c>
    </row>
    <row r="3" spans="1:3">
      <c r="A3" s="222" t="s">
        <v>1171</v>
      </c>
      <c r="B3">
        <v>40</v>
      </c>
    </row>
    <row r="4" spans="1:3">
      <c r="A4" s="222" t="s">
        <v>1172</v>
      </c>
      <c r="B4">
        <v>793</v>
      </c>
    </row>
    <row r="5" spans="1:3" ht="15.75">
      <c r="A5" s="223" t="s">
        <v>1173</v>
      </c>
      <c r="B5">
        <v>385</v>
      </c>
    </row>
    <row r="6" spans="1:3" ht="15.75">
      <c r="A6" s="226" t="s">
        <v>1174</v>
      </c>
      <c r="B6" s="227">
        <f>'From Batch 20'!Z2</f>
        <v>44967</v>
      </c>
      <c r="C6" s="227">
        <f>'From Batch 20'!Z3</f>
        <v>2251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F982-02AC-4A66-BEFF-E321DA8615CA}">
  <dimension ref="A1:K18"/>
  <sheetViews>
    <sheetView workbookViewId="0">
      <pane xSplit="1" topLeftCell="B14" activePane="topRight" state="frozen"/>
      <selection pane="topRight" activeCell="A14" sqref="A14"/>
    </sheetView>
  </sheetViews>
  <sheetFormatPr defaultColWidth="9.140625" defaultRowHeight="14.45"/>
  <cols>
    <col min="1" max="1" width="23.42578125" style="70" customWidth="1"/>
    <col min="2" max="2" width="13.85546875" style="71" customWidth="1"/>
    <col min="3" max="3" width="13.7109375" style="71" customWidth="1"/>
    <col min="4" max="4" width="19.42578125" style="71" customWidth="1"/>
    <col min="5" max="5" width="15.42578125" style="71" customWidth="1"/>
    <col min="6" max="6" width="20.85546875" style="71" customWidth="1"/>
    <col min="7" max="7" width="11.140625" style="27" customWidth="1"/>
    <col min="8" max="8" width="9.140625" style="27"/>
    <col min="9" max="9" width="11.7109375" style="27" customWidth="1"/>
    <col min="10" max="16384" width="9.140625" style="27"/>
  </cols>
  <sheetData>
    <row r="1" spans="1:11" ht="28.9">
      <c r="A1" s="38" t="s">
        <v>1175</v>
      </c>
      <c r="B1" s="63"/>
      <c r="C1" s="33"/>
      <c r="D1" s="33"/>
      <c r="E1" s="33"/>
      <c r="F1" s="33"/>
      <c r="G1" s="33"/>
      <c r="H1" s="33"/>
      <c r="I1" s="33"/>
      <c r="J1" s="33"/>
      <c r="K1" s="33"/>
    </row>
    <row r="2" spans="1:11">
      <c r="A2" s="41"/>
      <c r="B2" s="33"/>
      <c r="C2" s="33"/>
      <c r="D2" s="33"/>
      <c r="E2" s="33"/>
      <c r="F2" s="33"/>
      <c r="G2" s="33"/>
      <c r="H2" s="33"/>
      <c r="I2" s="33"/>
      <c r="J2" s="33"/>
      <c r="K2" s="33"/>
    </row>
    <row r="3" spans="1:11" s="28" customFormat="1" ht="57.6">
      <c r="A3" s="38" t="s">
        <v>1168</v>
      </c>
      <c r="B3" s="38" t="s">
        <v>1176</v>
      </c>
      <c r="C3" s="38" t="s">
        <v>1177</v>
      </c>
      <c r="D3" s="38" t="s">
        <v>1178</v>
      </c>
      <c r="E3" s="38" t="s">
        <v>1179</v>
      </c>
      <c r="F3" s="38" t="s">
        <v>1180</v>
      </c>
      <c r="G3" s="38" t="s">
        <v>3</v>
      </c>
      <c r="H3" s="38" t="s">
        <v>1181</v>
      </c>
      <c r="I3" s="38"/>
      <c r="J3" s="38"/>
      <c r="K3" s="184"/>
    </row>
    <row r="4" spans="1:11">
      <c r="A4" s="207" t="s">
        <v>1170</v>
      </c>
      <c r="B4" s="207">
        <f>B5+B7</f>
        <v>48436</v>
      </c>
      <c r="C4" s="207">
        <f>C5+C7</f>
        <v>48420</v>
      </c>
      <c r="D4" s="207">
        <f>D5+D7</f>
        <v>7919</v>
      </c>
      <c r="E4" s="207">
        <f>E5+E7</f>
        <v>95449</v>
      </c>
      <c r="F4" s="207">
        <f>F5+F7</f>
        <v>3287</v>
      </c>
      <c r="G4" s="38"/>
      <c r="H4" s="38"/>
      <c r="I4" s="32"/>
      <c r="J4" s="32"/>
      <c r="K4" s="32"/>
    </row>
    <row r="5" spans="1:11" ht="28.9">
      <c r="A5" s="64" t="s">
        <v>1182</v>
      </c>
      <c r="B5" s="64">
        <f>'From Batch 6 to 14'!E2+40-8</f>
        <v>833</v>
      </c>
      <c r="C5" s="64">
        <f>'From Batch 6 to 14'!F2+40-8</f>
        <v>833</v>
      </c>
      <c r="D5" s="64">
        <f>'From Batch 6 to 14'!H2+40-8</f>
        <v>833</v>
      </c>
      <c r="E5" s="64">
        <f>SUM(E8:E9)</f>
        <v>833</v>
      </c>
      <c r="F5" s="64">
        <f>SUM(F8:F9)</f>
        <v>833</v>
      </c>
      <c r="G5" s="38"/>
      <c r="H5" s="38"/>
      <c r="I5" s="32"/>
      <c r="J5" s="32"/>
      <c r="K5" s="32"/>
    </row>
    <row r="6" spans="1:11" ht="31.15" hidden="1">
      <c r="A6" s="66" t="s">
        <v>1183</v>
      </c>
      <c r="B6" s="66">
        <f>'From Batch 15 to 19'!E2</f>
        <v>385</v>
      </c>
      <c r="C6" s="66">
        <f>'From Batch 15 to 19'!F2</f>
        <v>385</v>
      </c>
      <c r="D6" s="66">
        <f>'From Batch 15 to 19'!H2</f>
        <v>385</v>
      </c>
      <c r="E6" s="66">
        <f>E10</f>
        <v>385</v>
      </c>
      <c r="F6" s="66">
        <f>F10</f>
        <v>385</v>
      </c>
      <c r="G6" s="38" t="s">
        <v>1184</v>
      </c>
      <c r="H6" s="38"/>
      <c r="I6" s="38"/>
      <c r="J6" s="38"/>
      <c r="K6" s="38"/>
    </row>
    <row r="7" spans="1:11" ht="31.15">
      <c r="A7" s="72" t="s">
        <v>1185</v>
      </c>
      <c r="B7" s="72">
        <f>SUM(B10:B1048576)</f>
        <v>47603</v>
      </c>
      <c r="C7" s="72">
        <f>SUM(C10:C1048576)</f>
        <v>47587</v>
      </c>
      <c r="D7" s="72">
        <f>SUM(D10:D1048576)</f>
        <v>7086</v>
      </c>
      <c r="E7" s="72">
        <f>SUM(E10:E1048576)</f>
        <v>94616</v>
      </c>
      <c r="F7" s="72">
        <f>SUM(F10:F1048576)</f>
        <v>2454</v>
      </c>
      <c r="G7" s="38"/>
      <c r="H7" s="38"/>
      <c r="I7" s="32"/>
      <c r="J7" s="32"/>
      <c r="K7" s="32"/>
    </row>
    <row r="8" spans="1:11">
      <c r="A8" s="135" t="s">
        <v>1171</v>
      </c>
      <c r="B8" s="65">
        <v>40</v>
      </c>
      <c r="C8" s="56">
        <v>40</v>
      </c>
      <c r="D8" s="56">
        <v>40</v>
      </c>
      <c r="E8" s="56">
        <v>40</v>
      </c>
      <c r="F8" s="56">
        <v>40</v>
      </c>
      <c r="G8" s="41"/>
      <c r="H8" s="41"/>
      <c r="I8" s="33"/>
      <c r="J8" s="33"/>
      <c r="K8" s="34"/>
    </row>
    <row r="9" spans="1:11">
      <c r="A9" s="136" t="s">
        <v>1172</v>
      </c>
      <c r="B9" s="36">
        <v>793</v>
      </c>
      <c r="C9" s="44">
        <v>793</v>
      </c>
      <c r="D9" s="44">
        <v>793</v>
      </c>
      <c r="E9" s="44">
        <v>793</v>
      </c>
      <c r="F9" s="44">
        <v>793</v>
      </c>
      <c r="G9" s="41"/>
      <c r="H9" s="41"/>
      <c r="I9" s="33"/>
      <c r="J9" s="33"/>
      <c r="K9" s="34"/>
    </row>
    <row r="10" spans="1:11" ht="15.6">
      <c r="A10" s="67" t="s">
        <v>1173</v>
      </c>
      <c r="B10" s="68">
        <f>'From Batch 15 to 19'!E2</f>
        <v>385</v>
      </c>
      <c r="C10" s="67">
        <f>'From Batch 15 to 19'!F2</f>
        <v>385</v>
      </c>
      <c r="D10" s="67">
        <f>'From Batch 15 to 19'!H2</f>
        <v>385</v>
      </c>
      <c r="E10" s="67">
        <f>SUM('From Batch 15 to 19'!P4:P1048576)</f>
        <v>385</v>
      </c>
      <c r="F10" s="67">
        <f>SUM('From Batch 15 to 19'!R4:R1048576)</f>
        <v>385</v>
      </c>
      <c r="G10" s="41"/>
      <c r="H10" s="41"/>
      <c r="I10" s="33"/>
      <c r="J10" s="33"/>
      <c r="K10" s="33"/>
    </row>
    <row r="11" spans="1:11" ht="15.6">
      <c r="A11" s="67" t="s">
        <v>1174</v>
      </c>
      <c r="B11" s="68">
        <f>'From Batch 20'!C2</f>
        <v>47218</v>
      </c>
      <c r="C11" s="67">
        <f>'From Batch 20'!H2</f>
        <v>47202</v>
      </c>
      <c r="D11" s="67">
        <f>'From Batch 20'!O2</f>
        <v>6701</v>
      </c>
      <c r="E11" s="67">
        <f>SUM('From Batch 20'!V4:V1048576)</f>
        <v>94231</v>
      </c>
      <c r="F11" s="68">
        <f>SUM('From Batch 20'!X4:X1048576)</f>
        <v>2069</v>
      </c>
      <c r="G11" s="41"/>
      <c r="H11" s="41"/>
      <c r="I11" s="33"/>
      <c r="J11" s="33"/>
      <c r="K11" s="33"/>
    </row>
    <row r="12" spans="1:11">
      <c r="A12" s="69" t="s">
        <v>452</v>
      </c>
      <c r="B12" s="69" t="s">
        <v>452</v>
      </c>
      <c r="C12" s="69" t="s">
        <v>452</v>
      </c>
      <c r="D12" s="69" t="s">
        <v>452</v>
      </c>
      <c r="E12" s="69" t="s">
        <v>452</v>
      </c>
      <c r="F12" s="69" t="s">
        <v>452</v>
      </c>
      <c r="G12" s="41"/>
      <c r="H12" s="41"/>
      <c r="I12" s="33"/>
      <c r="J12" s="33"/>
      <c r="K12" s="33"/>
    </row>
    <row r="13" spans="1:11">
      <c r="A13" s="69" t="s">
        <v>452</v>
      </c>
      <c r="B13" s="69" t="s">
        <v>452</v>
      </c>
      <c r="C13" s="69" t="s">
        <v>452</v>
      </c>
      <c r="D13" s="69" t="s">
        <v>452</v>
      </c>
      <c r="E13" s="69" t="s">
        <v>452</v>
      </c>
      <c r="F13" s="69" t="s">
        <v>452</v>
      </c>
      <c r="G13" s="41"/>
      <c r="H13" s="41"/>
      <c r="I13" s="33"/>
      <c r="J13" s="33"/>
      <c r="K13" s="33"/>
    </row>
    <row r="14" spans="1:11">
      <c r="A14" s="69" t="s">
        <v>452</v>
      </c>
      <c r="B14" s="69" t="s">
        <v>452</v>
      </c>
      <c r="C14" s="69" t="s">
        <v>452</v>
      </c>
      <c r="D14" s="69" t="s">
        <v>452</v>
      </c>
      <c r="E14" s="69" t="s">
        <v>452</v>
      </c>
      <c r="F14" s="69" t="s">
        <v>452</v>
      </c>
      <c r="G14" s="41"/>
      <c r="H14" s="41"/>
      <c r="I14" s="33"/>
      <c r="J14" s="33"/>
      <c r="K14" s="33"/>
    </row>
    <row r="15" spans="1:11">
      <c r="A15" s="69" t="s">
        <v>452</v>
      </c>
      <c r="B15" s="69" t="s">
        <v>452</v>
      </c>
      <c r="C15" s="69" t="s">
        <v>452</v>
      </c>
      <c r="D15" s="69" t="s">
        <v>452</v>
      </c>
      <c r="E15" s="69" t="s">
        <v>452</v>
      </c>
      <c r="F15" s="69" t="s">
        <v>452</v>
      </c>
      <c r="G15" s="41"/>
      <c r="H15" s="41"/>
      <c r="I15" s="33"/>
      <c r="J15" s="33"/>
      <c r="K15" s="33"/>
    </row>
    <row r="16" spans="1:11">
      <c r="A16" s="69" t="s">
        <v>452</v>
      </c>
      <c r="B16" s="69" t="s">
        <v>452</v>
      </c>
      <c r="C16" s="69" t="s">
        <v>452</v>
      </c>
      <c r="D16" s="69" t="s">
        <v>452</v>
      </c>
      <c r="E16" s="69" t="s">
        <v>452</v>
      </c>
      <c r="F16" s="69" t="s">
        <v>452</v>
      </c>
      <c r="G16" s="41"/>
      <c r="H16" s="41"/>
      <c r="I16" s="33"/>
      <c r="J16" s="33"/>
      <c r="K16" s="33"/>
    </row>
    <row r="17" spans="1:11">
      <c r="A17" s="69" t="s">
        <v>452</v>
      </c>
      <c r="B17" s="69" t="s">
        <v>452</v>
      </c>
      <c r="C17" s="69" t="s">
        <v>452</v>
      </c>
      <c r="D17" s="69" t="s">
        <v>452</v>
      </c>
      <c r="E17" s="69" t="s">
        <v>452</v>
      </c>
      <c r="F17" s="69" t="s">
        <v>452</v>
      </c>
      <c r="G17" s="41"/>
      <c r="H17" s="41"/>
      <c r="I17" s="33"/>
      <c r="J17" s="33"/>
      <c r="K17" s="33"/>
    </row>
    <row r="18" spans="1:11">
      <c r="A18" s="69" t="s">
        <v>452</v>
      </c>
      <c r="B18" s="69" t="s">
        <v>452</v>
      </c>
      <c r="C18" s="69" t="s">
        <v>452</v>
      </c>
      <c r="D18" s="69" t="s">
        <v>452</v>
      </c>
      <c r="E18" s="69" t="s">
        <v>452</v>
      </c>
      <c r="F18" s="69" t="s">
        <v>452</v>
      </c>
      <c r="G18" s="41"/>
      <c r="H18" s="41"/>
      <c r="I18" s="33"/>
      <c r="J18" s="33"/>
      <c r="K18" s="3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B822-CCEB-4601-A611-6899D03D348B}">
  <dimension ref="A1:T8"/>
  <sheetViews>
    <sheetView workbookViewId="0">
      <pane xSplit="1" topLeftCell="B12" activePane="topRight" state="frozen"/>
      <selection pane="topRight" activeCell="A12" sqref="A12"/>
    </sheetView>
  </sheetViews>
  <sheetFormatPr defaultRowHeight="14.45"/>
  <cols>
    <col min="1" max="3" width="15.5703125" style="28" customWidth="1"/>
    <col min="4" max="7" width="15.5703125" style="29" customWidth="1"/>
    <col min="8" max="11" width="15.5703125" style="28" customWidth="1"/>
    <col min="12" max="12" width="19.28515625" style="28" customWidth="1"/>
    <col min="13" max="18" width="15.5703125" style="28" customWidth="1"/>
    <col min="19" max="19" width="22.5703125" customWidth="1"/>
  </cols>
  <sheetData>
    <row r="1" spans="1:20" s="28" customFormat="1" ht="109.5" customHeight="1">
      <c r="A1" s="36" t="s">
        <v>408</v>
      </c>
      <c r="B1" s="36" t="s">
        <v>1186</v>
      </c>
      <c r="C1" s="36" t="s">
        <v>409</v>
      </c>
      <c r="D1" s="36" t="s">
        <v>1187</v>
      </c>
      <c r="E1" s="36" t="s">
        <v>410</v>
      </c>
      <c r="F1" s="37" t="s">
        <v>415</v>
      </c>
      <c r="G1" s="37" t="s">
        <v>1188</v>
      </c>
      <c r="H1" s="37" t="s">
        <v>421</v>
      </c>
      <c r="I1" s="37" t="s">
        <v>422</v>
      </c>
      <c r="J1" s="37" t="s">
        <v>423</v>
      </c>
      <c r="K1" s="37" t="s">
        <v>413</v>
      </c>
      <c r="L1" s="36" t="s">
        <v>424</v>
      </c>
      <c r="M1" s="36" t="s">
        <v>413</v>
      </c>
      <c r="N1" s="36" t="s">
        <v>425</v>
      </c>
      <c r="O1" s="36" t="s">
        <v>426</v>
      </c>
      <c r="P1" s="36" t="s">
        <v>427</v>
      </c>
      <c r="Q1" s="36" t="s">
        <v>428</v>
      </c>
      <c r="R1" s="36" t="s">
        <v>429</v>
      </c>
      <c r="S1" s="36" t="s">
        <v>430</v>
      </c>
      <c r="T1" s="36" t="s">
        <v>1189</v>
      </c>
    </row>
    <row r="2" spans="1:20" s="27" customFormat="1" ht="23.45">
      <c r="A2" s="38" t="s">
        <v>435</v>
      </c>
      <c r="B2" s="39" t="s">
        <v>436</v>
      </c>
      <c r="C2" s="39" t="s">
        <v>436</v>
      </c>
      <c r="D2" s="39" t="s">
        <v>436</v>
      </c>
      <c r="E2" s="207">
        <f>SUM(E4:E1048559)</f>
        <v>385</v>
      </c>
      <c r="F2" s="40">
        <f>SUM(F4:F1048559)</f>
        <v>385</v>
      </c>
      <c r="G2" s="40">
        <f>SUM(G4:G1048559)</f>
        <v>385</v>
      </c>
      <c r="H2" s="192">
        <f>SUM(H4:H1048559)</f>
        <v>385</v>
      </c>
      <c r="I2" s="192" t="s">
        <v>452</v>
      </c>
      <c r="J2" s="46">
        <f>COUNTIF(J4:J1048576,"Done")</f>
        <v>5</v>
      </c>
      <c r="K2" s="52" t="s">
        <v>436</v>
      </c>
      <c r="L2" s="39" t="s">
        <v>436</v>
      </c>
      <c r="M2" s="39" t="s">
        <v>436</v>
      </c>
      <c r="N2" s="39" t="s">
        <v>436</v>
      </c>
      <c r="O2" s="41"/>
      <c r="P2" s="41"/>
      <c r="Q2" s="39" t="s">
        <v>436</v>
      </c>
      <c r="R2" s="208">
        <f>SUM(R4:R8)</f>
        <v>385</v>
      </c>
      <c r="S2" s="34"/>
      <c r="T2" s="34"/>
    </row>
    <row r="3" spans="1:20" s="27" customFormat="1" ht="28.9">
      <c r="A3" s="36" t="s">
        <v>438</v>
      </c>
      <c r="B3" s="42" t="s">
        <v>436</v>
      </c>
      <c r="C3" s="42" t="s">
        <v>436</v>
      </c>
      <c r="D3" s="42" t="s">
        <v>436</v>
      </c>
      <c r="E3" s="209" t="s">
        <v>452</v>
      </c>
      <c r="F3" s="37">
        <v>0</v>
      </c>
      <c r="G3" s="37">
        <v>0</v>
      </c>
      <c r="H3" s="43">
        <v>0</v>
      </c>
      <c r="I3" s="43" t="s">
        <v>452</v>
      </c>
      <c r="J3" s="53" t="s">
        <v>436</v>
      </c>
      <c r="K3" s="53" t="s">
        <v>436</v>
      </c>
      <c r="L3" s="42" t="s">
        <v>436</v>
      </c>
      <c r="M3" s="42" t="s">
        <v>436</v>
      </c>
      <c r="N3" s="42" t="s">
        <v>436</v>
      </c>
      <c r="O3" s="44" t="s">
        <v>452</v>
      </c>
      <c r="P3" s="44" t="s">
        <v>452</v>
      </c>
      <c r="Q3" s="42" t="s">
        <v>436</v>
      </c>
      <c r="R3" s="42" t="s">
        <v>436</v>
      </c>
      <c r="S3" s="35" t="s">
        <v>452</v>
      </c>
      <c r="T3" s="35" t="s">
        <v>452</v>
      </c>
    </row>
    <row r="4" spans="1:20" s="27" customFormat="1">
      <c r="A4" s="45">
        <v>15</v>
      </c>
      <c r="B4" s="41"/>
      <c r="C4" s="41">
        <v>250207</v>
      </c>
      <c r="D4" s="41"/>
      <c r="E4" s="41">
        <v>92</v>
      </c>
      <c r="F4" s="46">
        <v>92</v>
      </c>
      <c r="G4" s="46">
        <v>92</v>
      </c>
      <c r="H4" s="46">
        <v>92</v>
      </c>
      <c r="I4" s="46">
        <v>250227</v>
      </c>
      <c r="J4" s="46" t="s">
        <v>431</v>
      </c>
      <c r="K4" s="46" t="s">
        <v>1190</v>
      </c>
      <c r="L4" s="41" t="s">
        <v>431</v>
      </c>
      <c r="M4" s="41" t="s">
        <v>1191</v>
      </c>
      <c r="N4" s="41" t="s">
        <v>440</v>
      </c>
      <c r="O4" s="41">
        <v>250227</v>
      </c>
      <c r="P4" s="41">
        <v>92</v>
      </c>
      <c r="Q4" s="41" t="s">
        <v>431</v>
      </c>
      <c r="R4" s="41">
        <v>92</v>
      </c>
      <c r="S4" s="33" t="s">
        <v>1192</v>
      </c>
      <c r="T4" s="33"/>
    </row>
    <row r="5" spans="1:20" s="27" customFormat="1">
      <c r="A5" s="45">
        <v>16</v>
      </c>
      <c r="B5" s="41"/>
      <c r="C5" s="41">
        <v>250214</v>
      </c>
      <c r="D5" s="41"/>
      <c r="E5" s="41">
        <v>92</v>
      </c>
      <c r="F5" s="46">
        <v>92</v>
      </c>
      <c r="G5" s="46">
        <v>92</v>
      </c>
      <c r="H5" s="46">
        <v>92</v>
      </c>
      <c r="I5" s="46">
        <v>250220</v>
      </c>
      <c r="J5" s="46" t="s">
        <v>431</v>
      </c>
      <c r="K5" s="46" t="s">
        <v>1190</v>
      </c>
      <c r="L5" s="41"/>
      <c r="M5" s="41"/>
      <c r="N5" s="41" t="s">
        <v>440</v>
      </c>
      <c r="O5" s="41">
        <v>250224</v>
      </c>
      <c r="P5" s="41">
        <v>92</v>
      </c>
      <c r="Q5" s="41" t="s">
        <v>431</v>
      </c>
      <c r="R5" s="41">
        <v>92</v>
      </c>
      <c r="S5" s="33" t="s">
        <v>1193</v>
      </c>
      <c r="T5" s="33" t="s">
        <v>1194</v>
      </c>
    </row>
    <row r="6" spans="1:20" s="27" customFormat="1">
      <c r="A6" s="45">
        <v>17</v>
      </c>
      <c r="B6" s="41"/>
      <c r="C6" s="41">
        <v>250220</v>
      </c>
      <c r="D6" s="41"/>
      <c r="E6" s="41">
        <v>92</v>
      </c>
      <c r="F6" s="46">
        <v>92</v>
      </c>
      <c r="G6" s="46">
        <v>92</v>
      </c>
      <c r="H6" s="46">
        <v>92</v>
      </c>
      <c r="I6" s="46">
        <v>250224</v>
      </c>
      <c r="J6" s="46" t="s">
        <v>431</v>
      </c>
      <c r="K6" s="46" t="s">
        <v>1190</v>
      </c>
      <c r="L6" s="41"/>
      <c r="M6" s="41"/>
      <c r="N6" s="41" t="s">
        <v>440</v>
      </c>
      <c r="O6" s="41">
        <v>250224</v>
      </c>
      <c r="P6" s="41">
        <v>92</v>
      </c>
      <c r="Q6" s="41" t="s">
        <v>431</v>
      </c>
      <c r="R6" s="41">
        <v>92</v>
      </c>
      <c r="S6" s="33" t="s">
        <v>1195</v>
      </c>
      <c r="T6" s="33"/>
    </row>
    <row r="7" spans="1:20" s="27" customFormat="1">
      <c r="A7" s="45">
        <v>18</v>
      </c>
      <c r="B7" s="41"/>
      <c r="C7" s="41">
        <v>250221</v>
      </c>
      <c r="D7" s="41"/>
      <c r="E7" s="41">
        <v>92</v>
      </c>
      <c r="F7" s="46">
        <v>92</v>
      </c>
      <c r="G7" s="46">
        <v>92</v>
      </c>
      <c r="H7" s="46">
        <v>92</v>
      </c>
      <c r="I7" s="46">
        <v>250226</v>
      </c>
      <c r="J7" s="46" t="s">
        <v>431</v>
      </c>
      <c r="K7" s="46" t="s">
        <v>1190</v>
      </c>
      <c r="L7" s="41"/>
      <c r="M7" s="41"/>
      <c r="N7" s="41" t="s">
        <v>440</v>
      </c>
      <c r="O7" s="41">
        <v>250226</v>
      </c>
      <c r="P7" s="41">
        <v>92</v>
      </c>
      <c r="Q7" s="41" t="s">
        <v>431</v>
      </c>
      <c r="R7" s="41">
        <v>92</v>
      </c>
      <c r="S7" s="33"/>
      <c r="T7" s="33"/>
    </row>
    <row r="8" spans="1:20" s="27" customFormat="1">
      <c r="A8" s="45">
        <v>19</v>
      </c>
      <c r="B8" s="41"/>
      <c r="C8" s="41">
        <v>250221</v>
      </c>
      <c r="D8" s="41"/>
      <c r="E8" s="41">
        <v>17</v>
      </c>
      <c r="F8" s="46">
        <v>17</v>
      </c>
      <c r="G8" s="46">
        <v>17</v>
      </c>
      <c r="H8" s="46">
        <v>17</v>
      </c>
      <c r="I8" s="46">
        <v>250228</v>
      </c>
      <c r="J8" s="46" t="s">
        <v>431</v>
      </c>
      <c r="K8" s="46" t="s">
        <v>1190</v>
      </c>
      <c r="L8" s="41"/>
      <c r="M8" s="41"/>
      <c r="N8" s="41" t="s">
        <v>440</v>
      </c>
      <c r="O8" s="41">
        <v>250228</v>
      </c>
      <c r="P8" s="41">
        <v>17</v>
      </c>
      <c r="Q8" s="41" t="s">
        <v>431</v>
      </c>
      <c r="R8" s="41">
        <v>17</v>
      </c>
      <c r="S8" s="33" t="s">
        <v>1196</v>
      </c>
      <c r="T8" s="3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3625AE1E-DEF9-47B5-B2CF-7A2B3F2E7CA2}">
          <x14:formula1>
            <xm:f>Sheet2!$C$2:$C$5</xm:f>
          </x14:formula1>
          <xm:sqref>Q4:Q1048576 L4:L1048576</xm:sqref>
        </x14:dataValidation>
        <x14:dataValidation type="list" allowBlank="1" showInputMessage="1" showErrorMessage="1" xr:uid="{2B2DDEA3-1744-41DE-8969-BF46198C9A1D}">
          <x14:formula1>
            <xm:f>Sheet2!$E$2:$E$5</xm:f>
          </x14:formula1>
          <xm:sqref>N4:N1048576</xm:sqref>
        </x14:dataValidation>
        <x14:dataValidation type="list" allowBlank="1" showInputMessage="1" showErrorMessage="1" xr:uid="{12C45D7C-5829-476D-8314-73DAC5784FA3}">
          <x14:formula1>
            <xm:f>Sheet2!$A$2:$A$6</xm:f>
          </x14:formula1>
          <xm:sqref>J4:J1048576</xm:sqref>
        </x14:dataValidation>
        <x14:dataValidation type="list" allowBlank="1" showInputMessage="1" showErrorMessage="1" xr:uid="{83A15CAC-DDF1-4B76-8B8A-6DCA108F7687}">
          <x14:formula1>
            <xm:f>Sheet2!$D$2:$D$8</xm:f>
          </x14:formula1>
          <xm:sqref>M4:M1048576</xm:sqref>
        </x14:dataValidation>
        <x14:dataValidation type="list" allowBlank="1" showInputMessage="1" showErrorMessage="1" xr:uid="{C00C9ADA-D303-4362-B651-37788DF1DACD}">
          <x14:formula1>
            <xm:f>Sheet2!$B$2:$B$7</xm:f>
          </x14:formula1>
          <xm:sqref>K1:K1048576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A7676-B1A2-4D6E-B379-99A184E488BA}">
  <dimension ref="A1:S20"/>
  <sheetViews>
    <sheetView workbookViewId="0">
      <pane xSplit="1" topLeftCell="W1" activePane="topRight" state="frozen"/>
      <selection pane="topRight" activeCell="W25" sqref="W25"/>
    </sheetView>
  </sheetViews>
  <sheetFormatPr defaultColWidth="9.140625" defaultRowHeight="14.45"/>
  <cols>
    <col min="1" max="1" width="14.140625" style="28" customWidth="1"/>
    <col min="2" max="2" width="15.7109375" style="28" customWidth="1"/>
    <col min="3" max="3" width="14.140625" style="28" customWidth="1"/>
    <col min="4" max="4" width="14.42578125" style="28" customWidth="1"/>
    <col min="5" max="5" width="16.5703125" style="28" customWidth="1"/>
    <col min="6" max="6" width="13.28515625" style="29" customWidth="1"/>
    <col min="7" max="7" width="12.140625" style="29" customWidth="1"/>
    <col min="8" max="8" width="18.140625" style="29" customWidth="1"/>
    <col min="9" max="9" width="14.140625" style="29" customWidth="1"/>
    <col min="10" max="10" width="18.7109375" style="29" customWidth="1"/>
    <col min="11" max="11" width="11.7109375" style="29" customWidth="1"/>
    <col min="12" max="12" width="17.140625" style="57" customWidth="1"/>
    <col min="13" max="13" width="17.28515625" style="28" customWidth="1"/>
    <col min="14" max="14" width="14.5703125" style="28" customWidth="1"/>
    <col min="15" max="15" width="14.140625" style="28" customWidth="1"/>
    <col min="16" max="16" width="9.140625" style="28"/>
    <col min="17" max="17" width="15.85546875" style="28" customWidth="1"/>
    <col min="18" max="18" width="11.5703125" style="28" customWidth="1"/>
    <col min="19" max="16384" width="9.140625" style="28"/>
  </cols>
  <sheetData>
    <row r="1" spans="1:19" ht="102" customHeight="1">
      <c r="A1" s="36" t="s">
        <v>408</v>
      </c>
      <c r="B1" s="36" t="s">
        <v>1186</v>
      </c>
      <c r="C1" s="36" t="s">
        <v>409</v>
      </c>
      <c r="D1" s="36" t="s">
        <v>1187</v>
      </c>
      <c r="E1" s="36" t="s">
        <v>410</v>
      </c>
      <c r="F1" s="47" t="s">
        <v>415</v>
      </c>
      <c r="G1" s="47" t="s">
        <v>1188</v>
      </c>
      <c r="H1" s="47" t="s">
        <v>1197</v>
      </c>
      <c r="I1" s="47" t="s">
        <v>422</v>
      </c>
      <c r="J1" s="47" t="s">
        <v>423</v>
      </c>
      <c r="K1" s="47" t="s">
        <v>413</v>
      </c>
      <c r="L1" s="36" t="s">
        <v>424</v>
      </c>
      <c r="M1" s="36" t="s">
        <v>413</v>
      </c>
      <c r="N1" s="36" t="s">
        <v>425</v>
      </c>
      <c r="O1" s="36" t="s">
        <v>426</v>
      </c>
      <c r="P1" s="36" t="s">
        <v>427</v>
      </c>
      <c r="Q1" s="36" t="s">
        <v>428</v>
      </c>
      <c r="R1" s="36" t="s">
        <v>429</v>
      </c>
      <c r="S1" s="36" t="s">
        <v>1198</v>
      </c>
    </row>
    <row r="2" spans="1:19" ht="28.9">
      <c r="A2" s="38" t="s">
        <v>435</v>
      </c>
      <c r="B2" s="39" t="s">
        <v>436</v>
      </c>
      <c r="C2" s="39" t="s">
        <v>436</v>
      </c>
      <c r="D2" s="39" t="s">
        <v>436</v>
      </c>
      <c r="E2" s="207">
        <f>SUM(E4:E1048576)</f>
        <v>801</v>
      </c>
      <c r="F2" s="48">
        <f>SUM(F4:F1048576)</f>
        <v>801</v>
      </c>
      <c r="G2" s="48">
        <f>SUM(G4:G1048576)</f>
        <v>801</v>
      </c>
      <c r="H2" s="210">
        <f>SUM(H4:H1048576)</f>
        <v>801</v>
      </c>
      <c r="I2" s="210" t="s">
        <v>452</v>
      </c>
      <c r="J2" s="50">
        <f>COUNTIF(J4:J1048576,"Done")</f>
        <v>10</v>
      </c>
      <c r="K2" s="59" t="s">
        <v>436</v>
      </c>
      <c r="L2" s="39" t="s">
        <v>436</v>
      </c>
      <c r="M2" s="39" t="s">
        <v>436</v>
      </c>
      <c r="N2" s="39" t="s">
        <v>436</v>
      </c>
      <c r="O2" s="41"/>
      <c r="P2" s="41"/>
      <c r="Q2" s="39" t="s">
        <v>436</v>
      </c>
      <c r="R2" s="55">
        <f>SUM(R9:R19)</f>
        <v>793</v>
      </c>
      <c r="S2" s="34"/>
    </row>
    <row r="3" spans="1:19" ht="33.75" customHeight="1">
      <c r="A3" s="36" t="s">
        <v>438</v>
      </c>
      <c r="B3" s="42" t="s">
        <v>436</v>
      </c>
      <c r="C3" s="42" t="s">
        <v>436</v>
      </c>
      <c r="D3" s="42" t="s">
        <v>436</v>
      </c>
      <c r="E3" s="209" t="s">
        <v>452</v>
      </c>
      <c r="F3" s="47">
        <f>E2-F2</f>
        <v>0</v>
      </c>
      <c r="G3" s="47">
        <f>E2-G2</f>
        <v>0</v>
      </c>
      <c r="H3" s="49">
        <f>E2-H2</f>
        <v>0</v>
      </c>
      <c r="I3" s="49" t="s">
        <v>452</v>
      </c>
      <c r="J3" s="60" t="s">
        <v>436</v>
      </c>
      <c r="K3" s="60" t="s">
        <v>436</v>
      </c>
      <c r="L3" s="42" t="s">
        <v>436</v>
      </c>
      <c r="M3" s="42" t="s">
        <v>436</v>
      </c>
      <c r="N3" s="42" t="s">
        <v>436</v>
      </c>
      <c r="O3" s="44" t="s">
        <v>452</v>
      </c>
      <c r="P3" s="44" t="s">
        <v>452</v>
      </c>
      <c r="Q3" s="42" t="s">
        <v>436</v>
      </c>
      <c r="R3" s="42" t="s">
        <v>436</v>
      </c>
      <c r="S3" s="35" t="s">
        <v>452</v>
      </c>
    </row>
    <row r="4" spans="1:19">
      <c r="A4" s="45">
        <v>1</v>
      </c>
      <c r="B4" s="39" t="s">
        <v>436</v>
      </c>
      <c r="C4" s="39" t="s">
        <v>436</v>
      </c>
      <c r="D4" s="39" t="s">
        <v>436</v>
      </c>
      <c r="E4" s="39" t="s">
        <v>436</v>
      </c>
      <c r="F4" s="50" t="s">
        <v>452</v>
      </c>
      <c r="G4" s="50" t="s">
        <v>452</v>
      </c>
      <c r="H4" s="50" t="s">
        <v>452</v>
      </c>
      <c r="I4" s="50" t="s">
        <v>452</v>
      </c>
      <c r="J4" s="59" t="s">
        <v>436</v>
      </c>
      <c r="K4" s="59" t="s">
        <v>436</v>
      </c>
      <c r="L4" s="39" t="s">
        <v>436</v>
      </c>
      <c r="M4" s="39" t="s">
        <v>436</v>
      </c>
      <c r="N4" s="39" t="s">
        <v>436</v>
      </c>
      <c r="O4" s="41"/>
      <c r="P4" s="39" t="s">
        <v>436</v>
      </c>
      <c r="Q4" s="41"/>
      <c r="R4" s="39" t="s">
        <v>436</v>
      </c>
      <c r="S4" s="33"/>
    </row>
    <row r="5" spans="1:19">
      <c r="A5" s="45">
        <v>2</v>
      </c>
      <c r="B5" s="39" t="s">
        <v>436</v>
      </c>
      <c r="C5" s="39" t="s">
        <v>436</v>
      </c>
      <c r="D5" s="39" t="s">
        <v>436</v>
      </c>
      <c r="E5" s="39" t="s">
        <v>436</v>
      </c>
      <c r="F5" s="50" t="s">
        <v>452</v>
      </c>
      <c r="G5" s="50" t="s">
        <v>452</v>
      </c>
      <c r="H5" s="50" t="s">
        <v>452</v>
      </c>
      <c r="I5" s="50" t="s">
        <v>452</v>
      </c>
      <c r="J5" s="59" t="s">
        <v>436</v>
      </c>
      <c r="K5" s="59" t="s">
        <v>436</v>
      </c>
      <c r="L5" s="39" t="s">
        <v>436</v>
      </c>
      <c r="M5" s="39" t="s">
        <v>436</v>
      </c>
      <c r="N5" s="39" t="s">
        <v>436</v>
      </c>
      <c r="O5" s="41"/>
      <c r="P5" s="39" t="s">
        <v>436</v>
      </c>
      <c r="Q5" s="41"/>
      <c r="R5" s="39" t="s">
        <v>436</v>
      </c>
      <c r="S5" s="33"/>
    </row>
    <row r="6" spans="1:19">
      <c r="A6" s="45">
        <v>3</v>
      </c>
      <c r="B6" s="39" t="s">
        <v>436</v>
      </c>
      <c r="C6" s="39" t="s">
        <v>436</v>
      </c>
      <c r="D6" s="39" t="s">
        <v>436</v>
      </c>
      <c r="E6" s="39" t="s">
        <v>436</v>
      </c>
      <c r="F6" s="50" t="s">
        <v>452</v>
      </c>
      <c r="G6" s="50" t="s">
        <v>452</v>
      </c>
      <c r="H6" s="50" t="s">
        <v>452</v>
      </c>
      <c r="I6" s="50" t="s">
        <v>452</v>
      </c>
      <c r="J6" s="59" t="s">
        <v>436</v>
      </c>
      <c r="K6" s="59" t="s">
        <v>436</v>
      </c>
      <c r="L6" s="39" t="s">
        <v>436</v>
      </c>
      <c r="M6" s="39" t="s">
        <v>436</v>
      </c>
      <c r="N6" s="39" t="s">
        <v>436</v>
      </c>
      <c r="O6" s="41"/>
      <c r="P6" s="39" t="s">
        <v>436</v>
      </c>
      <c r="Q6" s="41"/>
      <c r="R6" s="39" t="s">
        <v>436</v>
      </c>
      <c r="S6" s="33"/>
    </row>
    <row r="7" spans="1:19">
      <c r="A7" s="45">
        <v>4</v>
      </c>
      <c r="B7" s="39" t="s">
        <v>436</v>
      </c>
      <c r="C7" s="39" t="s">
        <v>436</v>
      </c>
      <c r="D7" s="39" t="s">
        <v>436</v>
      </c>
      <c r="E7" s="39" t="s">
        <v>436</v>
      </c>
      <c r="F7" s="50" t="s">
        <v>452</v>
      </c>
      <c r="G7" s="50" t="s">
        <v>452</v>
      </c>
      <c r="H7" s="50" t="s">
        <v>452</v>
      </c>
      <c r="I7" s="50" t="s">
        <v>452</v>
      </c>
      <c r="J7" s="59" t="s">
        <v>436</v>
      </c>
      <c r="K7" s="59" t="s">
        <v>436</v>
      </c>
      <c r="L7" s="39" t="s">
        <v>436</v>
      </c>
      <c r="M7" s="39" t="s">
        <v>436</v>
      </c>
      <c r="N7" s="39" t="s">
        <v>436</v>
      </c>
      <c r="O7" s="41"/>
      <c r="P7" s="39" t="s">
        <v>436</v>
      </c>
      <c r="Q7" s="41"/>
      <c r="R7" s="39" t="s">
        <v>436</v>
      </c>
      <c r="S7" s="33"/>
    </row>
    <row r="8" spans="1:19">
      <c r="A8" s="45">
        <v>5</v>
      </c>
      <c r="B8" s="39" t="s">
        <v>436</v>
      </c>
      <c r="C8" s="39" t="s">
        <v>436</v>
      </c>
      <c r="D8" s="39" t="s">
        <v>436</v>
      </c>
      <c r="E8" s="39" t="s">
        <v>436</v>
      </c>
      <c r="F8" s="50" t="s">
        <v>452</v>
      </c>
      <c r="G8" s="50" t="s">
        <v>452</v>
      </c>
      <c r="H8" s="50" t="s">
        <v>452</v>
      </c>
      <c r="I8" s="50" t="s">
        <v>452</v>
      </c>
      <c r="J8" s="59" t="s">
        <v>436</v>
      </c>
      <c r="K8" s="59" t="s">
        <v>436</v>
      </c>
      <c r="L8" s="39" t="s">
        <v>436</v>
      </c>
      <c r="M8" s="39" t="s">
        <v>436</v>
      </c>
      <c r="N8" s="39" t="s">
        <v>436</v>
      </c>
      <c r="O8" s="41"/>
      <c r="P8" s="39" t="s">
        <v>436</v>
      </c>
      <c r="Q8" s="41"/>
      <c r="R8" s="39" t="s">
        <v>436</v>
      </c>
      <c r="S8" s="33"/>
    </row>
    <row r="9" spans="1:19">
      <c r="A9" s="45">
        <v>6</v>
      </c>
      <c r="B9" s="41"/>
      <c r="C9" s="41"/>
      <c r="D9" s="41"/>
      <c r="E9" s="41">
        <v>94</v>
      </c>
      <c r="F9" s="50">
        <v>94</v>
      </c>
      <c r="G9" s="50">
        <v>94</v>
      </c>
      <c r="H9" s="50">
        <v>94</v>
      </c>
      <c r="I9" s="50" t="s">
        <v>452</v>
      </c>
      <c r="J9" s="50" t="s">
        <v>431</v>
      </c>
      <c r="K9" s="50" t="s">
        <v>1190</v>
      </c>
      <c r="L9" s="41" t="s">
        <v>431</v>
      </c>
      <c r="M9" s="41" t="s">
        <v>1199</v>
      </c>
      <c r="N9" s="41" t="s">
        <v>440</v>
      </c>
      <c r="O9" s="41"/>
      <c r="P9" s="41">
        <v>94</v>
      </c>
      <c r="Q9" s="41" t="s">
        <v>431</v>
      </c>
      <c r="R9" s="41">
        <v>94</v>
      </c>
      <c r="S9" s="33"/>
    </row>
    <row r="10" spans="1:19">
      <c r="A10" s="45">
        <v>7</v>
      </c>
      <c r="B10" s="41"/>
      <c r="C10" s="41"/>
      <c r="D10" s="41"/>
      <c r="E10" s="41">
        <v>94</v>
      </c>
      <c r="F10" s="50">
        <v>94</v>
      </c>
      <c r="G10" s="50">
        <v>94</v>
      </c>
      <c r="H10" s="50">
        <v>94</v>
      </c>
      <c r="I10" s="50" t="s">
        <v>452</v>
      </c>
      <c r="J10" s="50" t="s">
        <v>431</v>
      </c>
      <c r="K10" s="50" t="s">
        <v>1190</v>
      </c>
      <c r="L10" s="41" t="s">
        <v>431</v>
      </c>
      <c r="M10" s="41" t="s">
        <v>1199</v>
      </c>
      <c r="N10" s="41" t="s">
        <v>440</v>
      </c>
      <c r="O10" s="41"/>
      <c r="P10" s="41">
        <v>94</v>
      </c>
      <c r="Q10" s="41" t="s">
        <v>431</v>
      </c>
      <c r="R10" s="41">
        <v>94</v>
      </c>
      <c r="S10" s="33"/>
    </row>
    <row r="11" spans="1:19">
      <c r="A11" s="45">
        <v>8</v>
      </c>
      <c r="B11" s="41"/>
      <c r="C11" s="41"/>
      <c r="D11" s="41"/>
      <c r="E11" s="41">
        <v>94</v>
      </c>
      <c r="F11" s="50">
        <v>94</v>
      </c>
      <c r="G11" s="50">
        <v>94</v>
      </c>
      <c r="H11" s="50">
        <v>94</v>
      </c>
      <c r="I11" s="50" t="s">
        <v>452</v>
      </c>
      <c r="J11" s="50" t="s">
        <v>431</v>
      </c>
      <c r="K11" s="50" t="s">
        <v>1190</v>
      </c>
      <c r="L11" s="41"/>
      <c r="M11" s="41"/>
      <c r="N11" s="41" t="s">
        <v>440</v>
      </c>
      <c r="O11" s="41">
        <v>250318</v>
      </c>
      <c r="P11" s="41">
        <v>94</v>
      </c>
      <c r="Q11" s="41" t="s">
        <v>431</v>
      </c>
      <c r="R11" s="41">
        <v>94</v>
      </c>
      <c r="S11" s="33"/>
    </row>
    <row r="12" spans="1:19">
      <c r="A12" s="45">
        <v>9</v>
      </c>
      <c r="B12" s="41"/>
      <c r="C12" s="41"/>
      <c r="D12" s="41"/>
      <c r="E12" s="41">
        <v>94</v>
      </c>
      <c r="F12" s="50">
        <v>94</v>
      </c>
      <c r="G12" s="50">
        <v>94</v>
      </c>
      <c r="H12" s="50">
        <v>94</v>
      </c>
      <c r="I12" s="50" t="s">
        <v>452</v>
      </c>
      <c r="J12" s="50" t="s">
        <v>431</v>
      </c>
      <c r="K12" s="50" t="s">
        <v>1190</v>
      </c>
      <c r="L12" s="41"/>
      <c r="M12" s="41"/>
      <c r="N12" s="41" t="s">
        <v>440</v>
      </c>
      <c r="O12" s="41">
        <v>250321</v>
      </c>
      <c r="P12" s="41">
        <v>94</v>
      </c>
      <c r="Q12" s="41" t="s">
        <v>431</v>
      </c>
      <c r="R12" s="41">
        <v>94</v>
      </c>
      <c r="S12" s="33" t="s">
        <v>1200</v>
      </c>
    </row>
    <row r="13" spans="1:19">
      <c r="A13" s="45" t="s">
        <v>1201</v>
      </c>
      <c r="B13" s="41"/>
      <c r="C13" s="41"/>
      <c r="D13" s="41"/>
      <c r="E13" s="41">
        <v>8</v>
      </c>
      <c r="F13" s="50">
        <v>8</v>
      </c>
      <c r="G13" s="50">
        <v>8</v>
      </c>
      <c r="H13" s="50">
        <v>8</v>
      </c>
      <c r="I13" s="50" t="s">
        <v>452</v>
      </c>
      <c r="J13" s="50" t="s">
        <v>1202</v>
      </c>
      <c r="K13" s="50" t="s">
        <v>1190</v>
      </c>
      <c r="L13" s="41"/>
      <c r="M13" s="41"/>
      <c r="N13" s="41" t="s">
        <v>1202</v>
      </c>
      <c r="O13" s="41" t="s">
        <v>1202</v>
      </c>
      <c r="P13" s="41" t="s">
        <v>1202</v>
      </c>
      <c r="Q13" s="41"/>
      <c r="R13" s="41" t="s">
        <v>1202</v>
      </c>
      <c r="S13" s="33" t="s">
        <v>1203</v>
      </c>
    </row>
    <row r="14" spans="1:19">
      <c r="A14" s="45" t="s">
        <v>1204</v>
      </c>
      <c r="B14" s="41"/>
      <c r="C14" s="41"/>
      <c r="D14" s="41"/>
      <c r="E14" s="41">
        <v>86</v>
      </c>
      <c r="F14" s="50">
        <v>86</v>
      </c>
      <c r="G14" s="50">
        <v>86</v>
      </c>
      <c r="H14" s="50">
        <v>86</v>
      </c>
      <c r="I14" s="50" t="s">
        <v>452</v>
      </c>
      <c r="J14" s="50" t="s">
        <v>431</v>
      </c>
      <c r="K14" s="50" t="s">
        <v>1190</v>
      </c>
      <c r="L14" s="41"/>
      <c r="M14" s="41"/>
      <c r="N14" s="41" t="s">
        <v>440</v>
      </c>
      <c r="O14" s="41">
        <v>250321</v>
      </c>
      <c r="P14" s="41">
        <v>86</v>
      </c>
      <c r="Q14" s="41" t="s">
        <v>431</v>
      </c>
      <c r="R14" s="41">
        <v>86</v>
      </c>
      <c r="S14" s="33" t="s">
        <v>1205</v>
      </c>
    </row>
    <row r="15" spans="1:19">
      <c r="A15" s="45">
        <v>11</v>
      </c>
      <c r="B15" s="41"/>
      <c r="C15" s="41"/>
      <c r="D15" s="41"/>
      <c r="E15" s="41">
        <v>94</v>
      </c>
      <c r="F15" s="50">
        <v>94</v>
      </c>
      <c r="G15" s="50">
        <v>94</v>
      </c>
      <c r="H15" s="50">
        <v>94</v>
      </c>
      <c r="I15" s="50" t="s">
        <v>452</v>
      </c>
      <c r="J15" s="50" t="s">
        <v>431</v>
      </c>
      <c r="K15" s="50" t="s">
        <v>1190</v>
      </c>
      <c r="L15" s="41" t="s">
        <v>431</v>
      </c>
      <c r="M15" s="41" t="s">
        <v>1191</v>
      </c>
      <c r="N15" s="41" t="s">
        <v>440</v>
      </c>
      <c r="O15" s="41"/>
      <c r="P15" s="41">
        <v>94</v>
      </c>
      <c r="Q15" s="41" t="s">
        <v>431</v>
      </c>
      <c r="R15" s="41">
        <v>94</v>
      </c>
      <c r="S15" s="33"/>
    </row>
    <row r="16" spans="1:19">
      <c r="A16" s="45" t="s">
        <v>1206</v>
      </c>
      <c r="B16" s="41"/>
      <c r="C16" s="41"/>
      <c r="D16" s="41"/>
      <c r="E16" s="41">
        <v>5</v>
      </c>
      <c r="F16" s="50">
        <v>5</v>
      </c>
      <c r="G16" s="50">
        <v>5</v>
      </c>
      <c r="H16" s="50">
        <v>5</v>
      </c>
      <c r="I16" s="50" t="s">
        <v>452</v>
      </c>
      <c r="J16" s="50" t="s">
        <v>431</v>
      </c>
      <c r="K16" s="50" t="s">
        <v>1190</v>
      </c>
      <c r="L16" s="41" t="s">
        <v>431</v>
      </c>
      <c r="M16" s="41" t="s">
        <v>1191</v>
      </c>
      <c r="N16" s="41" t="s">
        <v>440</v>
      </c>
      <c r="O16" s="41"/>
      <c r="P16" s="41">
        <v>5</v>
      </c>
      <c r="Q16" s="41" t="s">
        <v>431</v>
      </c>
      <c r="R16" s="41">
        <v>5</v>
      </c>
      <c r="S16" s="33" t="s">
        <v>1207</v>
      </c>
    </row>
    <row r="17" spans="1:19">
      <c r="A17" s="45" t="s">
        <v>1208</v>
      </c>
      <c r="B17" s="41"/>
      <c r="C17" s="41"/>
      <c r="D17" s="41"/>
      <c r="E17" s="41">
        <v>87</v>
      </c>
      <c r="F17" s="50">
        <v>87</v>
      </c>
      <c r="G17" s="50">
        <v>87</v>
      </c>
      <c r="H17" s="50">
        <v>87</v>
      </c>
      <c r="I17" s="50" t="s">
        <v>452</v>
      </c>
      <c r="J17" s="50" t="s">
        <v>431</v>
      </c>
      <c r="K17" s="50" t="s">
        <v>1190</v>
      </c>
      <c r="L17" s="41" t="s">
        <v>1209</v>
      </c>
      <c r="M17" s="41"/>
      <c r="N17" s="41" t="s">
        <v>440</v>
      </c>
      <c r="O17" s="41">
        <v>250318</v>
      </c>
      <c r="P17" s="41">
        <v>87</v>
      </c>
      <c r="Q17" s="41" t="s">
        <v>431</v>
      </c>
      <c r="R17" s="41">
        <v>87</v>
      </c>
      <c r="S17" s="33"/>
    </row>
    <row r="18" spans="1:19">
      <c r="A18" s="45">
        <v>13</v>
      </c>
      <c r="B18" s="41"/>
      <c r="C18" s="41"/>
      <c r="D18" s="41"/>
      <c r="E18" s="41">
        <v>92</v>
      </c>
      <c r="F18" s="50">
        <v>92</v>
      </c>
      <c r="G18" s="50">
        <v>92</v>
      </c>
      <c r="H18" s="50">
        <v>92</v>
      </c>
      <c r="I18" s="50" t="s">
        <v>452</v>
      </c>
      <c r="J18" s="50" t="s">
        <v>431</v>
      </c>
      <c r="K18" s="50" t="s">
        <v>1190</v>
      </c>
      <c r="L18" s="41" t="s">
        <v>431</v>
      </c>
      <c r="M18" s="41" t="s">
        <v>1191</v>
      </c>
      <c r="N18" s="41" t="s">
        <v>440</v>
      </c>
      <c r="O18" s="41"/>
      <c r="P18" s="41">
        <v>92</v>
      </c>
      <c r="Q18" s="41" t="s">
        <v>431</v>
      </c>
      <c r="R18" s="41">
        <v>92</v>
      </c>
      <c r="S18" s="33"/>
    </row>
    <row r="19" spans="1:19">
      <c r="A19" s="45">
        <v>14</v>
      </c>
      <c r="B19" s="41"/>
      <c r="C19" s="41"/>
      <c r="D19" s="41"/>
      <c r="E19" s="41">
        <v>53</v>
      </c>
      <c r="F19" s="50">
        <v>53</v>
      </c>
      <c r="G19" s="50">
        <v>53</v>
      </c>
      <c r="H19" s="50">
        <v>53</v>
      </c>
      <c r="I19" s="50" t="s">
        <v>452</v>
      </c>
      <c r="J19" s="50" t="s">
        <v>431</v>
      </c>
      <c r="K19" s="50" t="s">
        <v>1190</v>
      </c>
      <c r="L19" s="41" t="s">
        <v>431</v>
      </c>
      <c r="M19" s="41" t="s">
        <v>1191</v>
      </c>
      <c r="N19" s="41" t="s">
        <v>440</v>
      </c>
      <c r="O19" s="44" t="s">
        <v>452</v>
      </c>
      <c r="P19" s="44">
        <v>53</v>
      </c>
      <c r="Q19" s="41" t="s">
        <v>431</v>
      </c>
      <c r="R19" s="41">
        <v>53</v>
      </c>
      <c r="S19" s="33"/>
    </row>
    <row r="20" spans="1:19">
      <c r="A20" s="58" t="s">
        <v>452</v>
      </c>
      <c r="B20" s="58" t="s">
        <v>452</v>
      </c>
      <c r="C20" s="58" t="s">
        <v>452</v>
      </c>
      <c r="D20" s="58" t="s">
        <v>452</v>
      </c>
      <c r="E20" s="58" t="s">
        <v>452</v>
      </c>
      <c r="F20" s="61" t="s">
        <v>452</v>
      </c>
      <c r="G20" s="61" t="s">
        <v>452</v>
      </c>
      <c r="H20" s="61" t="s">
        <v>452</v>
      </c>
      <c r="I20" s="62" t="s">
        <v>452</v>
      </c>
      <c r="J20" s="61" t="s">
        <v>452</v>
      </c>
      <c r="K20" s="61" t="s">
        <v>452</v>
      </c>
      <c r="L20" s="58" t="s">
        <v>452</v>
      </c>
      <c r="M20" s="58" t="s">
        <v>452</v>
      </c>
      <c r="N20" s="58" t="s">
        <v>452</v>
      </c>
      <c r="O20" s="51"/>
      <c r="P20" s="51"/>
      <c r="Q20" s="58" t="s">
        <v>452</v>
      </c>
      <c r="R20" s="58" t="s">
        <v>452</v>
      </c>
      <c r="S20" s="54" t="s">
        <v>452</v>
      </c>
    </row>
  </sheetData>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D9D24274-E92E-43F4-91F0-5491AC0C02E1}">
          <x14:formula1>
            <xm:f>Sheet2!$A$2:$A$6</xm:f>
          </x14:formula1>
          <xm:sqref>J4:J1048576</xm:sqref>
        </x14:dataValidation>
        <x14:dataValidation type="list" allowBlank="1" showInputMessage="1" showErrorMessage="1" xr:uid="{D0564644-6CBC-4964-9E29-3EECAE822E78}">
          <x14:formula1>
            <xm:f>Sheet2!$C$2:$C$5</xm:f>
          </x14:formula1>
          <xm:sqref>L4:L1048576</xm:sqref>
        </x14:dataValidation>
        <x14:dataValidation type="list" allowBlank="1" showInputMessage="1" showErrorMessage="1" xr:uid="{CDFBFBA7-0C51-4103-9378-7E12E279DF40}">
          <x14:formula1>
            <xm:f>Sheet2!$E$2:$E$5</xm:f>
          </x14:formula1>
          <xm:sqref>N4:N1048576</xm:sqref>
        </x14:dataValidation>
        <x14:dataValidation type="list" allowBlank="1" showInputMessage="1" showErrorMessage="1" xr:uid="{EF8E3C52-0F59-4612-BBAB-EF90E7FF7772}">
          <x14:formula1>
            <xm:f>Sheet2!$F$2:$F$5</xm:f>
          </x14:formula1>
          <xm:sqref>Q4:Q1048576</xm:sqref>
        </x14:dataValidation>
        <x14:dataValidation type="list" allowBlank="1" showInputMessage="1" showErrorMessage="1" xr:uid="{47A6B06B-63EE-4632-8CB9-C7705818BBA1}">
          <x14:formula1>
            <xm:f>Sheet2!$D$2:$D$8</xm:f>
          </x14:formula1>
          <xm:sqref>M4:M1048576</xm:sqref>
        </x14:dataValidation>
        <x14:dataValidation type="list" allowBlank="1" showInputMessage="1" showErrorMessage="1" xr:uid="{2A850034-9BBB-471C-98EE-472D0F3DFCE5}">
          <x14:formula1>
            <xm:f>Sheet2!$B$2:$B$7</xm:f>
          </x14:formula1>
          <xm:sqref>K4:K1048576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90E9-CB14-4656-885D-5D6BE4FF05D3}">
  <dimension ref="A1:K125"/>
  <sheetViews>
    <sheetView workbookViewId="0">
      <selection activeCell="D7" sqref="D7"/>
    </sheetView>
  </sheetViews>
  <sheetFormatPr defaultColWidth="9.140625" defaultRowHeight="14.45"/>
  <cols>
    <col min="1" max="1" width="17.85546875" style="159" customWidth="1"/>
    <col min="2" max="2" width="20.5703125" style="159" customWidth="1"/>
    <col min="3" max="3" width="15.140625" style="159" customWidth="1"/>
    <col min="4" max="4" width="12.7109375" style="159" customWidth="1"/>
    <col min="5" max="5" width="15.42578125" style="159" customWidth="1"/>
    <col min="6" max="6" width="14.42578125" style="159" customWidth="1"/>
    <col min="7" max="7" width="20.140625" style="159" customWidth="1"/>
    <col min="8" max="8" width="17.5703125" style="159" customWidth="1"/>
    <col min="9" max="9" width="18.140625" style="159" customWidth="1"/>
    <col min="10" max="10" width="17.7109375" style="159" customWidth="1"/>
    <col min="11" max="11" width="15.42578125" style="159" customWidth="1"/>
    <col min="12" max="16384" width="9.140625" style="159"/>
  </cols>
  <sheetData>
    <row r="1" spans="1:11" s="174" customFormat="1">
      <c r="A1" s="174" t="s">
        <v>1210</v>
      </c>
      <c r="B1" s="174" t="s">
        <v>1</v>
      </c>
      <c r="C1" s="174" t="s">
        <v>1211</v>
      </c>
      <c r="D1" s="174" t="s">
        <v>1212</v>
      </c>
      <c r="E1" s="174" t="s">
        <v>1213</v>
      </c>
      <c r="F1" s="174" t="s">
        <v>1214</v>
      </c>
      <c r="G1" s="174" t="s">
        <v>1215</v>
      </c>
      <c r="H1" s="174" t="s">
        <v>1216</v>
      </c>
      <c r="I1" s="174" t="s">
        <v>1217</v>
      </c>
      <c r="J1" s="174" t="s">
        <v>1218</v>
      </c>
      <c r="K1" s="174" t="s">
        <v>1219</v>
      </c>
    </row>
    <row r="2" spans="1:11">
      <c r="A2" s="159" t="s">
        <v>1220</v>
      </c>
      <c r="B2" s="159" t="s">
        <v>1221</v>
      </c>
      <c r="C2" s="160">
        <f>DATE(2025,6,4)</f>
        <v>45812</v>
      </c>
      <c r="D2" s="159">
        <v>1</v>
      </c>
      <c r="E2" s="159" t="s">
        <v>1222</v>
      </c>
      <c r="G2" s="159">
        <v>1</v>
      </c>
      <c r="H2" s="159" t="s">
        <v>535</v>
      </c>
      <c r="I2" s="159" t="s">
        <v>535</v>
      </c>
      <c r="J2" s="159">
        <v>1</v>
      </c>
      <c r="K2" s="159">
        <f>G2-J2</f>
        <v>0</v>
      </c>
    </row>
    <row r="3" spans="1:11" ht="18" customHeight="1">
      <c r="A3" s="159" t="s">
        <v>1220</v>
      </c>
      <c r="B3" s="159" t="s">
        <v>1223</v>
      </c>
      <c r="C3" s="160">
        <f>DATE(2025,6,18)</f>
        <v>45826</v>
      </c>
      <c r="D3" s="159">
        <v>1</v>
      </c>
      <c r="E3" s="159" t="s">
        <v>1222</v>
      </c>
      <c r="F3" s="159" t="s">
        <v>472</v>
      </c>
      <c r="G3" s="159">
        <v>1</v>
      </c>
      <c r="H3" s="159" t="s">
        <v>535</v>
      </c>
      <c r="I3" s="159" t="s">
        <v>535</v>
      </c>
      <c r="J3" s="159">
        <v>1</v>
      </c>
      <c r="K3" s="159">
        <f t="shared" ref="K3:K66" si="0">G3-J3</f>
        <v>0</v>
      </c>
    </row>
    <row r="4" spans="1:11">
      <c r="A4" s="159" t="s">
        <v>1220</v>
      </c>
      <c r="B4" s="161" t="s">
        <v>563</v>
      </c>
      <c r="C4" s="160">
        <f>DATE(2025,11,12)</f>
        <v>45973</v>
      </c>
      <c r="D4" s="159">
        <v>90</v>
      </c>
      <c r="E4" s="159" t="s">
        <v>1222</v>
      </c>
      <c r="F4" s="159" t="s">
        <v>470</v>
      </c>
      <c r="G4" s="159">
        <v>90</v>
      </c>
      <c r="H4" s="159" t="s">
        <v>469</v>
      </c>
      <c r="I4" s="159" t="s">
        <v>535</v>
      </c>
      <c r="J4" s="159">
        <v>89</v>
      </c>
      <c r="K4" s="159">
        <f t="shared" si="0"/>
        <v>1</v>
      </c>
    </row>
    <row r="5" spans="1:11">
      <c r="A5" s="159" t="s">
        <v>1220</v>
      </c>
      <c r="B5" s="161" t="s">
        <v>569</v>
      </c>
      <c r="C5" s="160">
        <f>DATE(2025,11,19)</f>
        <v>45980</v>
      </c>
      <c r="D5" s="159">
        <v>90</v>
      </c>
      <c r="E5" s="159" t="s">
        <v>1222</v>
      </c>
      <c r="F5" s="159" t="s">
        <v>540</v>
      </c>
      <c r="G5" s="159">
        <v>90</v>
      </c>
      <c r="H5" s="159" t="s">
        <v>469</v>
      </c>
      <c r="I5" s="159" t="s">
        <v>535</v>
      </c>
      <c r="J5" s="159">
        <v>86</v>
      </c>
      <c r="K5" s="159">
        <f t="shared" si="0"/>
        <v>4</v>
      </c>
    </row>
    <row r="6" spans="1:11">
      <c r="A6" s="159" t="s">
        <v>1220</v>
      </c>
      <c r="B6" s="161" t="s">
        <v>572</v>
      </c>
      <c r="C6" s="160">
        <v>45980</v>
      </c>
      <c r="D6" s="159">
        <v>90</v>
      </c>
      <c r="E6" s="159" t="s">
        <v>1222</v>
      </c>
      <c r="F6" s="159" t="s">
        <v>470</v>
      </c>
      <c r="G6" s="159">
        <v>90</v>
      </c>
      <c r="H6" s="159" t="s">
        <v>469</v>
      </c>
      <c r="I6" s="159" t="s">
        <v>535</v>
      </c>
      <c r="J6" s="159">
        <v>89</v>
      </c>
      <c r="K6" s="159">
        <f t="shared" si="0"/>
        <v>1</v>
      </c>
    </row>
    <row r="7" spans="1:11">
      <c r="A7" s="159" t="s">
        <v>1220</v>
      </c>
      <c r="B7" s="161" t="s">
        <v>583</v>
      </c>
      <c r="C7" s="160">
        <v>45986</v>
      </c>
      <c r="D7" s="159">
        <v>90</v>
      </c>
      <c r="E7" s="159" t="s">
        <v>1222</v>
      </c>
      <c r="F7" s="159" t="s">
        <v>473</v>
      </c>
      <c r="G7" s="159">
        <v>90</v>
      </c>
      <c r="H7" s="159" t="s">
        <v>472</v>
      </c>
      <c r="I7" s="159" t="s">
        <v>1224</v>
      </c>
      <c r="J7" s="159">
        <v>90</v>
      </c>
      <c r="K7" s="159">
        <f t="shared" si="0"/>
        <v>0</v>
      </c>
    </row>
    <row r="8" spans="1:11">
      <c r="A8" s="159" t="s">
        <v>1220</v>
      </c>
      <c r="B8" s="161" t="s">
        <v>574</v>
      </c>
      <c r="C8" s="160">
        <v>45985</v>
      </c>
      <c r="D8" s="159">
        <v>90</v>
      </c>
      <c r="E8" s="159" t="s">
        <v>1222</v>
      </c>
      <c r="F8" s="159" t="s">
        <v>478</v>
      </c>
      <c r="G8" s="159">
        <v>90</v>
      </c>
      <c r="H8" s="159" t="s">
        <v>478</v>
      </c>
      <c r="I8" s="159" t="s">
        <v>1224</v>
      </c>
      <c r="J8" s="159">
        <v>87</v>
      </c>
      <c r="K8" s="159">
        <f t="shared" si="0"/>
        <v>3</v>
      </c>
    </row>
    <row r="9" spans="1:11">
      <c r="A9" s="159" t="s">
        <v>1220</v>
      </c>
      <c r="B9" s="161" t="s">
        <v>577</v>
      </c>
      <c r="C9" s="162">
        <v>45985</v>
      </c>
      <c r="D9" s="159">
        <v>90</v>
      </c>
      <c r="E9" s="159" t="s">
        <v>1222</v>
      </c>
      <c r="F9" s="159" t="s">
        <v>473</v>
      </c>
      <c r="G9" s="159">
        <v>90</v>
      </c>
      <c r="H9" s="159" t="s">
        <v>469</v>
      </c>
      <c r="I9" s="159" t="s">
        <v>1224</v>
      </c>
      <c r="J9" s="159">
        <v>88</v>
      </c>
      <c r="K9" s="159">
        <f t="shared" si="0"/>
        <v>2</v>
      </c>
    </row>
    <row r="10" spans="1:11">
      <c r="A10" s="159" t="s">
        <v>1220</v>
      </c>
      <c r="B10" s="161" t="s">
        <v>580</v>
      </c>
      <c r="C10" s="162">
        <v>45986</v>
      </c>
      <c r="D10" s="159">
        <v>90</v>
      </c>
      <c r="E10" s="159" t="s">
        <v>1222</v>
      </c>
      <c r="F10" s="159" t="s">
        <v>540</v>
      </c>
      <c r="G10" s="159">
        <v>90</v>
      </c>
      <c r="H10" s="159" t="s">
        <v>472</v>
      </c>
      <c r="I10" s="159" t="s">
        <v>1224</v>
      </c>
      <c r="J10" s="159">
        <v>90</v>
      </c>
      <c r="K10" s="159">
        <f t="shared" si="0"/>
        <v>0</v>
      </c>
    </row>
    <row r="11" spans="1:11">
      <c r="A11" s="159" t="s">
        <v>1220</v>
      </c>
      <c r="B11" s="161" t="s">
        <v>585</v>
      </c>
      <c r="C11" s="162">
        <v>45987</v>
      </c>
      <c r="D11" s="159">
        <v>90</v>
      </c>
      <c r="E11" s="159" t="s">
        <v>1222</v>
      </c>
      <c r="F11" s="159" t="s">
        <v>540</v>
      </c>
      <c r="G11" s="159">
        <v>90</v>
      </c>
      <c r="H11" s="163" t="s">
        <v>472</v>
      </c>
      <c r="I11" s="159" t="s">
        <v>1224</v>
      </c>
      <c r="J11" s="163">
        <v>90</v>
      </c>
      <c r="K11" s="159">
        <f t="shared" si="0"/>
        <v>0</v>
      </c>
    </row>
    <row r="12" spans="1:11">
      <c r="A12" s="159" t="s">
        <v>1220</v>
      </c>
      <c r="B12" s="161" t="s">
        <v>587</v>
      </c>
      <c r="C12" s="162">
        <v>45989</v>
      </c>
      <c r="D12" s="159">
        <v>90</v>
      </c>
      <c r="E12" s="159" t="s">
        <v>1222</v>
      </c>
      <c r="F12" s="159" t="s">
        <v>470</v>
      </c>
      <c r="G12" s="159">
        <v>90</v>
      </c>
      <c r="H12" s="163" t="s">
        <v>588</v>
      </c>
      <c r="I12" s="159" t="s">
        <v>1224</v>
      </c>
      <c r="J12" s="163">
        <v>85</v>
      </c>
      <c r="K12" s="159">
        <f t="shared" si="0"/>
        <v>5</v>
      </c>
    </row>
    <row r="13" spans="1:11">
      <c r="A13" s="159" t="s">
        <v>1220</v>
      </c>
      <c r="B13" s="161" t="s">
        <v>591</v>
      </c>
      <c r="C13" s="162">
        <v>45989</v>
      </c>
      <c r="D13" s="159">
        <v>90</v>
      </c>
      <c r="E13" s="159" t="s">
        <v>1222</v>
      </c>
      <c r="F13" s="159" t="s">
        <v>473</v>
      </c>
      <c r="G13" s="159">
        <v>90</v>
      </c>
      <c r="H13" s="163" t="s">
        <v>469</v>
      </c>
      <c r="I13" s="159" t="s">
        <v>1224</v>
      </c>
      <c r="J13" s="163">
        <v>89</v>
      </c>
      <c r="K13" s="159">
        <f t="shared" si="0"/>
        <v>1</v>
      </c>
    </row>
    <row r="14" spans="1:11">
      <c r="A14" s="159" t="s">
        <v>1220</v>
      </c>
      <c r="B14" s="161" t="s">
        <v>594</v>
      </c>
      <c r="C14" s="162">
        <v>45989</v>
      </c>
      <c r="D14" s="159">
        <v>90</v>
      </c>
      <c r="E14" s="159" t="s">
        <v>1222</v>
      </c>
      <c r="F14" s="163" t="s">
        <v>540</v>
      </c>
      <c r="G14" s="159">
        <v>90</v>
      </c>
      <c r="H14" s="163" t="s">
        <v>472</v>
      </c>
      <c r="I14" s="159" t="s">
        <v>1224</v>
      </c>
      <c r="J14" s="163">
        <v>89</v>
      </c>
      <c r="K14" s="159">
        <f t="shared" si="0"/>
        <v>1</v>
      </c>
    </row>
    <row r="15" spans="1:11">
      <c r="A15" s="159" t="s">
        <v>1220</v>
      </c>
      <c r="B15" s="161" t="s">
        <v>597</v>
      </c>
      <c r="C15" s="162">
        <v>45989</v>
      </c>
      <c r="D15" s="159">
        <v>90</v>
      </c>
      <c r="E15" s="159" t="s">
        <v>1222</v>
      </c>
      <c r="F15" s="163" t="s">
        <v>472</v>
      </c>
      <c r="G15" s="159">
        <v>90</v>
      </c>
      <c r="H15" s="163" t="s">
        <v>472</v>
      </c>
      <c r="I15" s="159" t="s">
        <v>1224</v>
      </c>
      <c r="J15" s="163">
        <v>89</v>
      </c>
      <c r="K15" s="159">
        <f t="shared" si="0"/>
        <v>1</v>
      </c>
    </row>
    <row r="16" spans="1:11">
      <c r="A16" s="159" t="s">
        <v>1220</v>
      </c>
      <c r="B16" s="161" t="s">
        <v>600</v>
      </c>
      <c r="C16" s="162">
        <v>45991</v>
      </c>
      <c r="D16" s="159">
        <v>90</v>
      </c>
      <c r="E16" s="159" t="s">
        <v>1222</v>
      </c>
      <c r="F16" s="163" t="s">
        <v>473</v>
      </c>
      <c r="G16" s="159">
        <v>90</v>
      </c>
      <c r="H16" s="163" t="s">
        <v>469</v>
      </c>
      <c r="I16" s="159" t="s">
        <v>1224</v>
      </c>
      <c r="J16" s="163">
        <v>89</v>
      </c>
      <c r="K16" s="159">
        <f t="shared" si="0"/>
        <v>1</v>
      </c>
    </row>
    <row r="17" spans="1:11">
      <c r="A17" s="159" t="s">
        <v>1220</v>
      </c>
      <c r="B17" s="161" t="s">
        <v>603</v>
      </c>
      <c r="C17" s="162">
        <v>45991</v>
      </c>
      <c r="D17" s="159">
        <v>90</v>
      </c>
      <c r="E17" s="159" t="s">
        <v>1222</v>
      </c>
      <c r="F17" s="163" t="s">
        <v>470</v>
      </c>
      <c r="G17" s="159">
        <v>90</v>
      </c>
      <c r="H17" s="163" t="s">
        <v>469</v>
      </c>
      <c r="I17" s="159" t="s">
        <v>1224</v>
      </c>
      <c r="J17" s="163">
        <v>88</v>
      </c>
      <c r="K17" s="159">
        <f t="shared" si="0"/>
        <v>2</v>
      </c>
    </row>
    <row r="18" spans="1:11">
      <c r="A18" s="159" t="s">
        <v>1220</v>
      </c>
      <c r="B18" s="161" t="s">
        <v>606</v>
      </c>
      <c r="C18" s="162">
        <v>45993</v>
      </c>
      <c r="D18" s="159">
        <v>90</v>
      </c>
      <c r="E18" s="159" t="s">
        <v>1222</v>
      </c>
      <c r="F18" s="163" t="s">
        <v>540</v>
      </c>
      <c r="G18" s="159">
        <v>90</v>
      </c>
      <c r="H18" s="163" t="s">
        <v>469</v>
      </c>
      <c r="I18" s="159" t="s">
        <v>1224</v>
      </c>
      <c r="J18" s="163">
        <v>87</v>
      </c>
      <c r="K18" s="159">
        <f t="shared" si="0"/>
        <v>3</v>
      </c>
    </row>
    <row r="19" spans="1:11">
      <c r="A19" s="159" t="s">
        <v>1220</v>
      </c>
      <c r="B19" s="161" t="s">
        <v>609</v>
      </c>
      <c r="C19" s="162">
        <v>45993</v>
      </c>
      <c r="D19" s="159">
        <v>90</v>
      </c>
      <c r="E19" s="159" t="s">
        <v>1222</v>
      </c>
      <c r="F19" s="163" t="s">
        <v>470</v>
      </c>
      <c r="G19" s="159">
        <v>90</v>
      </c>
      <c r="H19" s="163" t="s">
        <v>469</v>
      </c>
      <c r="I19" s="159" t="s">
        <v>1224</v>
      </c>
      <c r="J19" s="163">
        <v>88</v>
      </c>
      <c r="K19" s="159">
        <f t="shared" si="0"/>
        <v>2</v>
      </c>
    </row>
    <row r="20" spans="1:11">
      <c r="A20" s="159" t="s">
        <v>1220</v>
      </c>
      <c r="B20" s="161" t="s">
        <v>611</v>
      </c>
      <c r="C20" s="162">
        <v>45993</v>
      </c>
      <c r="D20" s="159">
        <v>90</v>
      </c>
      <c r="E20" s="159" t="s">
        <v>1222</v>
      </c>
      <c r="F20" s="163" t="s">
        <v>473</v>
      </c>
      <c r="G20" s="159">
        <v>90</v>
      </c>
      <c r="H20" s="163" t="s">
        <v>469</v>
      </c>
      <c r="I20" s="159" t="s">
        <v>1224</v>
      </c>
      <c r="J20" s="163">
        <v>88</v>
      </c>
      <c r="K20" s="159">
        <f t="shared" si="0"/>
        <v>2</v>
      </c>
    </row>
    <row r="21" spans="1:11">
      <c r="A21" s="159" t="s">
        <v>1220</v>
      </c>
      <c r="B21" s="161" t="s">
        <v>613</v>
      </c>
      <c r="C21" s="162">
        <v>45993</v>
      </c>
      <c r="D21" s="159">
        <v>90</v>
      </c>
      <c r="E21" s="159" t="s">
        <v>1222</v>
      </c>
      <c r="F21" s="163" t="s">
        <v>470</v>
      </c>
      <c r="G21" s="159">
        <v>90</v>
      </c>
      <c r="H21" s="163" t="s">
        <v>470</v>
      </c>
      <c r="I21" s="159" t="s">
        <v>1224</v>
      </c>
      <c r="J21" s="163">
        <v>86</v>
      </c>
      <c r="K21" s="159">
        <f t="shared" si="0"/>
        <v>4</v>
      </c>
    </row>
    <row r="22" spans="1:11">
      <c r="A22" s="159" t="s">
        <v>1220</v>
      </c>
      <c r="B22" s="161" t="s">
        <v>616</v>
      </c>
      <c r="C22" s="162">
        <v>45993</v>
      </c>
      <c r="D22" s="159">
        <v>90</v>
      </c>
      <c r="E22" s="159" t="s">
        <v>1222</v>
      </c>
      <c r="F22" s="163" t="s">
        <v>472</v>
      </c>
      <c r="G22" s="159">
        <v>90</v>
      </c>
      <c r="H22" s="163" t="s">
        <v>472</v>
      </c>
      <c r="I22" s="159" t="s">
        <v>1224</v>
      </c>
      <c r="J22" s="163">
        <v>89</v>
      </c>
      <c r="K22" s="159">
        <f t="shared" si="0"/>
        <v>1</v>
      </c>
    </row>
    <row r="23" spans="1:11">
      <c r="A23" s="159" t="s">
        <v>1220</v>
      </c>
      <c r="B23" s="161" t="s">
        <v>618</v>
      </c>
      <c r="C23" s="162">
        <v>45993</v>
      </c>
      <c r="D23" s="159">
        <v>90</v>
      </c>
      <c r="E23" s="159" t="s">
        <v>1222</v>
      </c>
      <c r="F23" s="163" t="s">
        <v>540</v>
      </c>
      <c r="G23" s="159">
        <v>90</v>
      </c>
      <c r="H23" s="163" t="s">
        <v>469</v>
      </c>
      <c r="I23" s="159" t="s">
        <v>1224</v>
      </c>
      <c r="J23" s="163">
        <v>85</v>
      </c>
      <c r="K23" s="159">
        <f t="shared" si="0"/>
        <v>5</v>
      </c>
    </row>
    <row r="24" spans="1:11">
      <c r="A24" s="159" t="s">
        <v>1220</v>
      </c>
      <c r="B24" s="161" t="s">
        <v>621</v>
      </c>
      <c r="C24" s="162">
        <v>45995</v>
      </c>
      <c r="D24" s="159">
        <v>90</v>
      </c>
      <c r="E24" s="159" t="s">
        <v>1222</v>
      </c>
      <c r="F24" s="163" t="s">
        <v>470</v>
      </c>
      <c r="G24" s="159">
        <v>90</v>
      </c>
      <c r="H24" s="163" t="s">
        <v>588</v>
      </c>
      <c r="I24" s="159" t="s">
        <v>1224</v>
      </c>
      <c r="J24" s="163">
        <v>90</v>
      </c>
      <c r="K24" s="159">
        <f t="shared" si="0"/>
        <v>0</v>
      </c>
    </row>
    <row r="25" spans="1:11">
      <c r="A25" s="159" t="s">
        <v>1220</v>
      </c>
      <c r="B25" s="161" t="s">
        <v>623</v>
      </c>
      <c r="C25" s="162">
        <v>45995</v>
      </c>
      <c r="D25" s="159">
        <v>90</v>
      </c>
      <c r="E25" s="159" t="s">
        <v>1222</v>
      </c>
      <c r="F25" s="163" t="s">
        <v>562</v>
      </c>
      <c r="G25" s="159">
        <v>90</v>
      </c>
      <c r="H25" s="163" t="s">
        <v>472</v>
      </c>
      <c r="I25" s="159" t="s">
        <v>1224</v>
      </c>
      <c r="J25" s="163">
        <v>88</v>
      </c>
      <c r="K25" s="159">
        <f t="shared" si="0"/>
        <v>2</v>
      </c>
    </row>
    <row r="26" spans="1:11">
      <c r="A26" s="159" t="s">
        <v>1220</v>
      </c>
      <c r="B26" s="161" t="s">
        <v>626</v>
      </c>
      <c r="C26" s="162">
        <v>45995</v>
      </c>
      <c r="D26" s="159">
        <v>90</v>
      </c>
      <c r="E26" s="159" t="s">
        <v>1222</v>
      </c>
      <c r="F26" s="163" t="s">
        <v>472</v>
      </c>
      <c r="G26" s="159">
        <v>90</v>
      </c>
      <c r="H26" s="163" t="s">
        <v>472</v>
      </c>
      <c r="I26" s="159" t="s">
        <v>1224</v>
      </c>
      <c r="J26" s="163">
        <v>88</v>
      </c>
      <c r="K26" s="159">
        <f t="shared" si="0"/>
        <v>2</v>
      </c>
    </row>
    <row r="27" spans="1:11">
      <c r="A27" s="159" t="s">
        <v>1220</v>
      </c>
      <c r="B27" s="161" t="s">
        <v>627</v>
      </c>
      <c r="C27" s="162">
        <v>45996</v>
      </c>
      <c r="D27" s="159">
        <v>90</v>
      </c>
      <c r="E27" s="159" t="s">
        <v>1222</v>
      </c>
      <c r="F27" s="163" t="s">
        <v>540</v>
      </c>
      <c r="G27" s="159">
        <v>90</v>
      </c>
      <c r="H27" s="163" t="s">
        <v>472</v>
      </c>
      <c r="I27" s="159" t="s">
        <v>1224</v>
      </c>
      <c r="J27" s="163">
        <v>89</v>
      </c>
      <c r="K27" s="159">
        <f t="shared" si="0"/>
        <v>1</v>
      </c>
    </row>
    <row r="28" spans="1:11">
      <c r="A28" s="159" t="s">
        <v>1220</v>
      </c>
      <c r="B28" s="161" t="s">
        <v>629</v>
      </c>
      <c r="C28" s="162">
        <v>45996</v>
      </c>
      <c r="D28" s="159">
        <v>90</v>
      </c>
      <c r="E28" s="159" t="s">
        <v>1222</v>
      </c>
      <c r="F28" s="163" t="s">
        <v>473</v>
      </c>
      <c r="G28" s="159">
        <v>90</v>
      </c>
      <c r="H28" s="163" t="s">
        <v>472</v>
      </c>
      <c r="I28" s="159" t="s">
        <v>1224</v>
      </c>
      <c r="J28" s="163">
        <v>88</v>
      </c>
      <c r="K28" s="159">
        <f t="shared" si="0"/>
        <v>2</v>
      </c>
    </row>
    <row r="29" spans="1:11">
      <c r="A29" s="159" t="s">
        <v>1220</v>
      </c>
      <c r="B29" s="161" t="s">
        <v>631</v>
      </c>
      <c r="C29" s="162">
        <v>45996</v>
      </c>
      <c r="D29" s="159">
        <v>90</v>
      </c>
      <c r="E29" s="159" t="s">
        <v>1222</v>
      </c>
      <c r="F29" s="163" t="s">
        <v>470</v>
      </c>
      <c r="G29" s="159">
        <v>90</v>
      </c>
      <c r="H29" s="163" t="s">
        <v>472</v>
      </c>
      <c r="I29" s="159" t="s">
        <v>1224</v>
      </c>
      <c r="J29" s="163">
        <v>79</v>
      </c>
      <c r="K29" s="159">
        <f t="shared" si="0"/>
        <v>11</v>
      </c>
    </row>
    <row r="30" spans="1:11">
      <c r="A30" s="159" t="s">
        <v>1220</v>
      </c>
      <c r="B30" s="161" t="s">
        <v>632</v>
      </c>
      <c r="C30" s="162">
        <v>45996</v>
      </c>
      <c r="D30" s="159">
        <v>90</v>
      </c>
      <c r="E30" s="159" t="s">
        <v>1222</v>
      </c>
      <c r="F30" s="163" t="s">
        <v>540</v>
      </c>
      <c r="G30" s="159">
        <v>90</v>
      </c>
      <c r="H30" s="163" t="s">
        <v>472</v>
      </c>
      <c r="I30" s="159" t="s">
        <v>1224</v>
      </c>
      <c r="J30" s="163">
        <v>88</v>
      </c>
      <c r="K30" s="159">
        <f t="shared" si="0"/>
        <v>2</v>
      </c>
    </row>
    <row r="31" spans="1:11">
      <c r="A31" s="159" t="s">
        <v>1220</v>
      </c>
      <c r="B31" s="161" t="s">
        <v>635</v>
      </c>
      <c r="C31" s="162">
        <v>45998</v>
      </c>
      <c r="D31" s="159">
        <v>90</v>
      </c>
      <c r="E31" s="159" t="s">
        <v>1222</v>
      </c>
      <c r="F31" s="163" t="s">
        <v>472</v>
      </c>
      <c r="G31" s="159">
        <v>90</v>
      </c>
      <c r="H31" s="163" t="s">
        <v>472</v>
      </c>
      <c r="I31" s="159" t="s">
        <v>1224</v>
      </c>
      <c r="J31" s="163">
        <v>79</v>
      </c>
      <c r="K31" s="159">
        <f t="shared" si="0"/>
        <v>11</v>
      </c>
    </row>
    <row r="32" spans="1:11">
      <c r="A32" s="159" t="s">
        <v>1220</v>
      </c>
      <c r="B32" s="161" t="s">
        <v>636</v>
      </c>
      <c r="C32" s="162">
        <v>45998</v>
      </c>
      <c r="D32" s="159">
        <v>90</v>
      </c>
      <c r="E32" s="159" t="s">
        <v>1222</v>
      </c>
      <c r="F32" s="163" t="s">
        <v>470</v>
      </c>
      <c r="G32" s="159">
        <v>90</v>
      </c>
      <c r="H32" s="163" t="s">
        <v>472</v>
      </c>
      <c r="I32" s="159" t="s">
        <v>1224</v>
      </c>
      <c r="J32" s="163">
        <v>87</v>
      </c>
      <c r="K32" s="159">
        <f t="shared" si="0"/>
        <v>3</v>
      </c>
    </row>
    <row r="33" spans="1:11">
      <c r="A33" s="159" t="s">
        <v>1220</v>
      </c>
      <c r="B33" s="161" t="s">
        <v>638</v>
      </c>
      <c r="C33" s="162">
        <v>45999</v>
      </c>
      <c r="D33" s="159">
        <v>90</v>
      </c>
      <c r="E33" s="159" t="s">
        <v>1222</v>
      </c>
      <c r="F33" s="163" t="s">
        <v>470</v>
      </c>
      <c r="G33" s="159">
        <v>90</v>
      </c>
      <c r="H33" s="163" t="s">
        <v>472</v>
      </c>
      <c r="I33" s="159" t="s">
        <v>1224</v>
      </c>
      <c r="J33" s="163">
        <v>88</v>
      </c>
      <c r="K33" s="159">
        <f t="shared" si="0"/>
        <v>2</v>
      </c>
    </row>
    <row r="34" spans="1:11">
      <c r="A34" s="159" t="s">
        <v>1220</v>
      </c>
      <c r="B34" s="161" t="s">
        <v>639</v>
      </c>
      <c r="C34" s="162">
        <v>45999</v>
      </c>
      <c r="D34" s="159">
        <v>90</v>
      </c>
      <c r="E34" s="159" t="s">
        <v>1222</v>
      </c>
      <c r="F34" s="163" t="s">
        <v>473</v>
      </c>
      <c r="G34" s="159">
        <v>90</v>
      </c>
      <c r="H34" s="163" t="s">
        <v>472</v>
      </c>
      <c r="I34" s="159" t="s">
        <v>1224</v>
      </c>
      <c r="J34" s="163">
        <v>89</v>
      </c>
      <c r="K34" s="159">
        <f t="shared" si="0"/>
        <v>1</v>
      </c>
    </row>
    <row r="35" spans="1:11">
      <c r="A35" s="159" t="s">
        <v>1220</v>
      </c>
      <c r="B35" s="161" t="s">
        <v>640</v>
      </c>
      <c r="C35" s="162">
        <v>45999</v>
      </c>
      <c r="D35" s="159">
        <v>90</v>
      </c>
      <c r="E35" s="159" t="s">
        <v>1222</v>
      </c>
      <c r="F35" s="163" t="s">
        <v>540</v>
      </c>
      <c r="G35" s="159">
        <v>90</v>
      </c>
      <c r="H35" s="163" t="s">
        <v>472</v>
      </c>
      <c r="I35" s="159" t="s">
        <v>1224</v>
      </c>
      <c r="J35" s="163">
        <v>88</v>
      </c>
      <c r="K35" s="159">
        <f t="shared" si="0"/>
        <v>2</v>
      </c>
    </row>
    <row r="36" spans="1:11">
      <c r="A36" s="159" t="s">
        <v>1220</v>
      </c>
      <c r="B36" s="161" t="s">
        <v>641</v>
      </c>
      <c r="C36" s="162">
        <v>46000</v>
      </c>
      <c r="D36" s="159">
        <v>90</v>
      </c>
      <c r="E36" s="159" t="s">
        <v>1222</v>
      </c>
      <c r="F36" s="163" t="s">
        <v>470</v>
      </c>
      <c r="G36" s="159">
        <v>90</v>
      </c>
      <c r="H36" s="163" t="s">
        <v>472</v>
      </c>
      <c r="I36" s="159" t="s">
        <v>1224</v>
      </c>
      <c r="J36" s="163">
        <v>89</v>
      </c>
      <c r="K36" s="159">
        <f t="shared" si="0"/>
        <v>1</v>
      </c>
    </row>
    <row r="37" spans="1:11">
      <c r="A37" s="159" t="s">
        <v>1220</v>
      </c>
      <c r="B37" s="161" t="s">
        <v>642</v>
      </c>
      <c r="C37" s="162">
        <v>46001</v>
      </c>
      <c r="D37" s="159">
        <v>90</v>
      </c>
      <c r="E37" s="159" t="s">
        <v>1222</v>
      </c>
      <c r="F37" s="163" t="s">
        <v>473</v>
      </c>
      <c r="G37" s="159">
        <v>90</v>
      </c>
      <c r="H37" s="163" t="s">
        <v>643</v>
      </c>
      <c r="I37" s="159" t="s">
        <v>1224</v>
      </c>
      <c r="J37" s="163">
        <v>88</v>
      </c>
      <c r="K37" s="159">
        <f t="shared" si="0"/>
        <v>2</v>
      </c>
    </row>
    <row r="38" spans="1:11">
      <c r="A38" s="159" t="s">
        <v>1220</v>
      </c>
      <c r="B38" s="161" t="s">
        <v>644</v>
      </c>
      <c r="C38" s="162">
        <v>46001</v>
      </c>
      <c r="D38" s="159">
        <v>90</v>
      </c>
      <c r="E38" s="159" t="s">
        <v>1222</v>
      </c>
      <c r="F38" s="163" t="s">
        <v>540</v>
      </c>
      <c r="G38" s="159">
        <v>90</v>
      </c>
      <c r="H38" s="163" t="s">
        <v>645</v>
      </c>
      <c r="I38" s="159" t="s">
        <v>1224</v>
      </c>
      <c r="J38" s="163">
        <v>90</v>
      </c>
      <c r="K38" s="159">
        <f t="shared" si="0"/>
        <v>0</v>
      </c>
    </row>
    <row r="39" spans="1:11">
      <c r="A39" s="159" t="s">
        <v>1220</v>
      </c>
      <c r="B39" s="161" t="s">
        <v>646</v>
      </c>
      <c r="C39" s="162">
        <v>46002</v>
      </c>
      <c r="D39" s="159">
        <v>90</v>
      </c>
      <c r="E39" s="159" t="s">
        <v>1222</v>
      </c>
      <c r="F39" s="163" t="s">
        <v>478</v>
      </c>
      <c r="G39" s="159">
        <v>90</v>
      </c>
      <c r="H39" s="163" t="s">
        <v>472</v>
      </c>
      <c r="I39" s="159" t="s">
        <v>1224</v>
      </c>
      <c r="J39" s="163">
        <v>89</v>
      </c>
      <c r="K39" s="159">
        <f t="shared" si="0"/>
        <v>1</v>
      </c>
    </row>
    <row r="40" spans="1:11">
      <c r="A40" s="159" t="s">
        <v>1220</v>
      </c>
      <c r="B40" s="161" t="s">
        <v>647</v>
      </c>
      <c r="C40" s="162">
        <v>46006</v>
      </c>
      <c r="D40" s="159">
        <v>90</v>
      </c>
      <c r="E40" s="159" t="s">
        <v>1222</v>
      </c>
      <c r="F40" s="163" t="s">
        <v>540</v>
      </c>
      <c r="G40" s="159">
        <v>90</v>
      </c>
      <c r="H40" s="163" t="s">
        <v>472</v>
      </c>
      <c r="I40" s="159" t="s">
        <v>1224</v>
      </c>
      <c r="J40" s="163">
        <v>89</v>
      </c>
      <c r="K40" s="159">
        <f t="shared" si="0"/>
        <v>1</v>
      </c>
    </row>
    <row r="41" spans="1:11">
      <c r="A41" s="159" t="s">
        <v>1220</v>
      </c>
      <c r="B41" s="161" t="s">
        <v>648</v>
      </c>
      <c r="C41" s="162">
        <v>46006</v>
      </c>
      <c r="D41" s="159">
        <v>90</v>
      </c>
      <c r="E41" s="159" t="s">
        <v>1222</v>
      </c>
      <c r="F41" s="163" t="s">
        <v>472</v>
      </c>
      <c r="G41" s="159">
        <v>90</v>
      </c>
      <c r="H41" s="163" t="s">
        <v>472</v>
      </c>
      <c r="I41" s="159" t="s">
        <v>1224</v>
      </c>
      <c r="J41" s="163">
        <v>88</v>
      </c>
      <c r="K41" s="159">
        <f t="shared" si="0"/>
        <v>2</v>
      </c>
    </row>
    <row r="42" spans="1:11">
      <c r="A42" s="159" t="s">
        <v>1220</v>
      </c>
      <c r="B42" s="161" t="s">
        <v>649</v>
      </c>
      <c r="C42" s="162">
        <v>46006</v>
      </c>
      <c r="D42" s="159">
        <v>90</v>
      </c>
      <c r="E42" s="159" t="s">
        <v>1222</v>
      </c>
      <c r="F42" s="163" t="s">
        <v>469</v>
      </c>
      <c r="G42" s="159">
        <v>90</v>
      </c>
      <c r="H42" s="163" t="s">
        <v>469</v>
      </c>
      <c r="I42" s="159" t="s">
        <v>1224</v>
      </c>
      <c r="J42" s="163">
        <v>88</v>
      </c>
      <c r="K42" s="159">
        <f t="shared" si="0"/>
        <v>2</v>
      </c>
    </row>
    <row r="43" spans="1:11">
      <c r="A43" s="159" t="s">
        <v>1220</v>
      </c>
      <c r="B43" s="161" t="s">
        <v>650</v>
      </c>
      <c r="C43" s="162">
        <v>46006</v>
      </c>
      <c r="D43" s="159">
        <v>90</v>
      </c>
      <c r="E43" s="159" t="s">
        <v>1222</v>
      </c>
      <c r="F43" s="163" t="s">
        <v>473</v>
      </c>
      <c r="G43" s="159">
        <v>90</v>
      </c>
      <c r="H43" s="163" t="s">
        <v>643</v>
      </c>
      <c r="I43" s="159" t="s">
        <v>1224</v>
      </c>
      <c r="J43" s="163">
        <v>86</v>
      </c>
      <c r="K43" s="159">
        <f t="shared" si="0"/>
        <v>4</v>
      </c>
    </row>
    <row r="44" spans="1:11">
      <c r="A44" s="159" t="s">
        <v>1220</v>
      </c>
      <c r="B44" s="161" t="s">
        <v>651</v>
      </c>
      <c r="C44" s="162">
        <v>46007</v>
      </c>
      <c r="D44" s="159">
        <v>90</v>
      </c>
      <c r="E44" s="159" t="s">
        <v>1222</v>
      </c>
      <c r="F44" s="163" t="s">
        <v>540</v>
      </c>
      <c r="G44" s="159">
        <v>90</v>
      </c>
      <c r="H44" s="163" t="s">
        <v>472</v>
      </c>
      <c r="I44" s="159" t="s">
        <v>1224</v>
      </c>
      <c r="J44" s="163">
        <v>89</v>
      </c>
      <c r="K44" s="159">
        <f t="shared" si="0"/>
        <v>1</v>
      </c>
    </row>
    <row r="45" spans="1:11">
      <c r="A45" s="159" t="s">
        <v>1220</v>
      </c>
      <c r="B45" s="161" t="s">
        <v>652</v>
      </c>
      <c r="C45" s="162">
        <v>46007</v>
      </c>
      <c r="D45" s="159">
        <v>90</v>
      </c>
      <c r="E45" s="159" t="s">
        <v>1222</v>
      </c>
      <c r="F45" s="163" t="s">
        <v>540</v>
      </c>
      <c r="G45" s="159">
        <v>90</v>
      </c>
      <c r="H45" s="163" t="s">
        <v>472</v>
      </c>
      <c r="I45" s="159" t="s">
        <v>1224</v>
      </c>
      <c r="J45" s="163">
        <v>89</v>
      </c>
      <c r="K45" s="159">
        <f t="shared" si="0"/>
        <v>1</v>
      </c>
    </row>
    <row r="46" spans="1:11">
      <c r="A46" s="159" t="s">
        <v>1220</v>
      </c>
      <c r="B46" s="161" t="s">
        <v>653</v>
      </c>
      <c r="C46" s="162">
        <v>46008</v>
      </c>
      <c r="D46" s="159">
        <v>90</v>
      </c>
      <c r="E46" s="159" t="s">
        <v>1222</v>
      </c>
      <c r="F46" s="163" t="s">
        <v>473</v>
      </c>
      <c r="G46" s="159">
        <v>90</v>
      </c>
      <c r="H46" s="163" t="s">
        <v>472</v>
      </c>
      <c r="I46" s="159" t="s">
        <v>1224</v>
      </c>
      <c r="J46" s="163">
        <v>90</v>
      </c>
      <c r="K46" s="159">
        <f t="shared" si="0"/>
        <v>0</v>
      </c>
    </row>
    <row r="47" spans="1:11">
      <c r="A47" s="159" t="s">
        <v>1220</v>
      </c>
      <c r="B47" s="161" t="s">
        <v>654</v>
      </c>
      <c r="C47" s="162">
        <v>46008</v>
      </c>
      <c r="D47" s="159">
        <v>90</v>
      </c>
      <c r="E47" s="159" t="s">
        <v>1222</v>
      </c>
      <c r="F47" s="163" t="s">
        <v>469</v>
      </c>
      <c r="G47" s="159">
        <v>90</v>
      </c>
      <c r="H47" s="163" t="s">
        <v>472</v>
      </c>
      <c r="I47" s="159" t="s">
        <v>1224</v>
      </c>
      <c r="J47" s="163">
        <v>84</v>
      </c>
      <c r="K47" s="159">
        <f t="shared" si="0"/>
        <v>6</v>
      </c>
    </row>
    <row r="48" spans="1:11">
      <c r="A48" s="159" t="s">
        <v>1220</v>
      </c>
      <c r="B48" s="161" t="s">
        <v>655</v>
      </c>
      <c r="C48" s="162">
        <v>46008</v>
      </c>
      <c r="D48" s="159">
        <v>90</v>
      </c>
      <c r="E48" s="159" t="s">
        <v>1222</v>
      </c>
      <c r="F48" s="163" t="s">
        <v>540</v>
      </c>
      <c r="G48" s="159">
        <v>90</v>
      </c>
      <c r="H48" s="163" t="s">
        <v>472</v>
      </c>
      <c r="I48" s="159" t="s">
        <v>1224</v>
      </c>
      <c r="J48" s="163">
        <v>90</v>
      </c>
      <c r="K48" s="159">
        <f t="shared" si="0"/>
        <v>0</v>
      </c>
    </row>
    <row r="49" spans="1:11">
      <c r="A49" s="159" t="s">
        <v>1220</v>
      </c>
      <c r="B49" s="161" t="s">
        <v>656</v>
      </c>
      <c r="C49" s="162">
        <v>46009</v>
      </c>
      <c r="D49" s="159">
        <v>90</v>
      </c>
      <c r="E49" s="159" t="s">
        <v>1222</v>
      </c>
      <c r="F49" s="163" t="s">
        <v>494</v>
      </c>
      <c r="G49" s="159">
        <v>90</v>
      </c>
      <c r="H49" s="163" t="s">
        <v>472</v>
      </c>
      <c r="I49" s="159" t="s">
        <v>1224</v>
      </c>
      <c r="J49" s="163">
        <v>87</v>
      </c>
      <c r="K49" s="159">
        <f t="shared" si="0"/>
        <v>3</v>
      </c>
    </row>
    <row r="50" spans="1:11">
      <c r="A50" s="159" t="s">
        <v>1220</v>
      </c>
      <c r="B50" s="161" t="s">
        <v>657</v>
      </c>
      <c r="C50" s="162">
        <v>46009</v>
      </c>
      <c r="D50" s="159">
        <v>90</v>
      </c>
      <c r="E50" s="159" t="s">
        <v>1222</v>
      </c>
      <c r="F50" s="163" t="s">
        <v>469</v>
      </c>
      <c r="G50" s="159">
        <v>90</v>
      </c>
      <c r="H50" s="163" t="s">
        <v>472</v>
      </c>
      <c r="I50" s="159" t="s">
        <v>1224</v>
      </c>
      <c r="J50" s="163">
        <v>88</v>
      </c>
      <c r="K50" s="159">
        <f t="shared" si="0"/>
        <v>2</v>
      </c>
    </row>
    <row r="51" spans="1:11">
      <c r="A51" s="159" t="s">
        <v>1220</v>
      </c>
      <c r="B51" s="211" t="s">
        <v>658</v>
      </c>
      <c r="C51" s="162">
        <v>46009</v>
      </c>
      <c r="D51" s="159">
        <v>90</v>
      </c>
      <c r="E51" s="159" t="s">
        <v>1222</v>
      </c>
      <c r="F51" s="163" t="s">
        <v>562</v>
      </c>
      <c r="G51" s="159">
        <v>90</v>
      </c>
      <c r="H51" s="163" t="s">
        <v>472</v>
      </c>
      <c r="I51" s="159" t="s">
        <v>1224</v>
      </c>
      <c r="J51" s="163">
        <v>90</v>
      </c>
      <c r="K51" s="159">
        <f t="shared" si="0"/>
        <v>0</v>
      </c>
    </row>
    <row r="52" spans="1:11">
      <c r="A52" s="159" t="s">
        <v>1220</v>
      </c>
      <c r="B52" s="211" t="s">
        <v>659</v>
      </c>
      <c r="C52" s="162">
        <v>46009</v>
      </c>
      <c r="D52" s="159">
        <v>90</v>
      </c>
      <c r="E52" s="159" t="s">
        <v>1222</v>
      </c>
      <c r="F52" s="163" t="s">
        <v>470</v>
      </c>
      <c r="G52" s="159">
        <v>90</v>
      </c>
      <c r="H52" s="163" t="s">
        <v>472</v>
      </c>
      <c r="I52" s="159" t="s">
        <v>1224</v>
      </c>
      <c r="J52" s="163">
        <v>88</v>
      </c>
      <c r="K52" s="159">
        <f t="shared" si="0"/>
        <v>2</v>
      </c>
    </row>
    <row r="53" spans="1:11">
      <c r="A53" s="159" t="s">
        <v>1220</v>
      </c>
      <c r="B53" s="211" t="s">
        <v>660</v>
      </c>
      <c r="C53" s="162">
        <v>46010</v>
      </c>
      <c r="D53" s="159">
        <v>90</v>
      </c>
      <c r="E53" s="159" t="s">
        <v>1222</v>
      </c>
      <c r="F53" s="163" t="s">
        <v>562</v>
      </c>
      <c r="G53" s="159">
        <v>90</v>
      </c>
      <c r="H53" s="163" t="s">
        <v>472</v>
      </c>
      <c r="I53" s="159" t="s">
        <v>1224</v>
      </c>
      <c r="J53" s="163">
        <v>87</v>
      </c>
      <c r="K53" s="159">
        <f t="shared" si="0"/>
        <v>3</v>
      </c>
    </row>
    <row r="54" spans="1:11">
      <c r="A54" s="159" t="s">
        <v>1220</v>
      </c>
      <c r="B54" s="211" t="s">
        <v>661</v>
      </c>
      <c r="C54" s="162">
        <v>46013</v>
      </c>
      <c r="D54" s="159">
        <v>90</v>
      </c>
      <c r="E54" s="159" t="s">
        <v>1222</v>
      </c>
      <c r="F54" s="163" t="s">
        <v>469</v>
      </c>
      <c r="G54" s="159">
        <v>90</v>
      </c>
      <c r="H54" s="163" t="s">
        <v>472</v>
      </c>
      <c r="I54" s="159" t="s">
        <v>1224</v>
      </c>
      <c r="J54" s="163">
        <v>90</v>
      </c>
      <c r="K54" s="159">
        <f t="shared" si="0"/>
        <v>0</v>
      </c>
    </row>
    <row r="55" spans="1:11">
      <c r="A55" s="159" t="s">
        <v>1220</v>
      </c>
      <c r="B55" s="211" t="s">
        <v>662</v>
      </c>
      <c r="C55" s="162">
        <v>46013</v>
      </c>
      <c r="D55" s="159">
        <v>90</v>
      </c>
      <c r="E55" s="159" t="s">
        <v>1222</v>
      </c>
      <c r="F55" s="163" t="s">
        <v>562</v>
      </c>
      <c r="G55" s="159">
        <v>90</v>
      </c>
      <c r="H55" s="163" t="s">
        <v>472</v>
      </c>
      <c r="I55" s="159" t="s">
        <v>1224</v>
      </c>
      <c r="J55" s="163">
        <v>89</v>
      </c>
      <c r="K55" s="159">
        <f t="shared" si="0"/>
        <v>1</v>
      </c>
    </row>
    <row r="56" spans="1:11">
      <c r="A56" s="159" t="s">
        <v>1220</v>
      </c>
      <c r="B56" s="211" t="s">
        <v>663</v>
      </c>
      <c r="C56" s="162">
        <v>46013</v>
      </c>
      <c r="D56" s="159">
        <v>90</v>
      </c>
      <c r="E56" s="159" t="s">
        <v>1222</v>
      </c>
      <c r="F56" s="163" t="s">
        <v>470</v>
      </c>
      <c r="G56" s="159">
        <v>90</v>
      </c>
      <c r="H56" s="163" t="s">
        <v>472</v>
      </c>
      <c r="I56" s="159" t="s">
        <v>1224</v>
      </c>
      <c r="J56" s="163">
        <v>86</v>
      </c>
      <c r="K56" s="159">
        <f t="shared" si="0"/>
        <v>4</v>
      </c>
    </row>
    <row r="57" spans="1:11">
      <c r="A57" s="159" t="s">
        <v>1220</v>
      </c>
      <c r="B57" s="211" t="s">
        <v>664</v>
      </c>
      <c r="C57" s="162">
        <v>46013</v>
      </c>
      <c r="D57" s="159">
        <v>90</v>
      </c>
      <c r="E57" s="159" t="s">
        <v>1222</v>
      </c>
      <c r="F57" s="163" t="s">
        <v>562</v>
      </c>
      <c r="G57" s="159">
        <v>90</v>
      </c>
      <c r="H57" s="163" t="s">
        <v>472</v>
      </c>
      <c r="I57" s="159" t="s">
        <v>1224</v>
      </c>
      <c r="J57" s="163">
        <v>84</v>
      </c>
      <c r="K57" s="159">
        <f t="shared" si="0"/>
        <v>6</v>
      </c>
    </row>
    <row r="58" spans="1:11">
      <c r="A58" s="159" t="s">
        <v>1220</v>
      </c>
      <c r="B58" s="211" t="s">
        <v>665</v>
      </c>
      <c r="C58" s="162">
        <v>46016</v>
      </c>
      <c r="D58" s="159">
        <v>90</v>
      </c>
      <c r="E58" s="159" t="s">
        <v>1222</v>
      </c>
      <c r="F58" s="163" t="s">
        <v>540</v>
      </c>
      <c r="G58" s="159">
        <v>90</v>
      </c>
      <c r="H58" s="163" t="s">
        <v>472</v>
      </c>
      <c r="I58" s="159" t="s">
        <v>1224</v>
      </c>
      <c r="J58" s="159">
        <v>88</v>
      </c>
      <c r="K58" s="159">
        <f t="shared" si="0"/>
        <v>2</v>
      </c>
    </row>
    <row r="59" spans="1:11">
      <c r="A59" s="159" t="s">
        <v>1220</v>
      </c>
      <c r="B59" s="211" t="s">
        <v>666</v>
      </c>
      <c r="C59" s="162">
        <v>46016</v>
      </c>
      <c r="D59" s="159">
        <v>90</v>
      </c>
      <c r="E59" s="159" t="s">
        <v>1222</v>
      </c>
      <c r="F59" s="163" t="s">
        <v>473</v>
      </c>
      <c r="G59" s="159">
        <v>90</v>
      </c>
      <c r="H59" s="163" t="s">
        <v>472</v>
      </c>
      <c r="I59" s="159" t="s">
        <v>1224</v>
      </c>
      <c r="J59" s="159">
        <v>86</v>
      </c>
      <c r="K59" s="159">
        <f t="shared" si="0"/>
        <v>4</v>
      </c>
    </row>
    <row r="60" spans="1:11">
      <c r="A60" s="159" t="s">
        <v>1220</v>
      </c>
      <c r="B60" s="211" t="s">
        <v>667</v>
      </c>
      <c r="C60" s="162">
        <v>46016</v>
      </c>
      <c r="D60" s="159">
        <v>90</v>
      </c>
      <c r="E60" s="159" t="s">
        <v>1222</v>
      </c>
      <c r="F60" s="163" t="s">
        <v>472</v>
      </c>
      <c r="G60" s="159">
        <v>90</v>
      </c>
      <c r="H60" s="163" t="s">
        <v>472</v>
      </c>
      <c r="I60" s="159" t="s">
        <v>1224</v>
      </c>
      <c r="J60" s="159">
        <v>87</v>
      </c>
      <c r="K60" s="159">
        <f t="shared" si="0"/>
        <v>3</v>
      </c>
    </row>
    <row r="61" spans="1:11">
      <c r="A61" s="159" t="s">
        <v>1220</v>
      </c>
      <c r="B61" s="211" t="s">
        <v>668</v>
      </c>
      <c r="C61" s="162">
        <v>46016</v>
      </c>
      <c r="D61" s="159">
        <v>90</v>
      </c>
      <c r="E61" s="159" t="s">
        <v>1222</v>
      </c>
      <c r="F61" s="163" t="s">
        <v>478</v>
      </c>
      <c r="G61" s="159">
        <v>90</v>
      </c>
      <c r="H61" s="163" t="s">
        <v>469</v>
      </c>
      <c r="I61" s="159" t="s">
        <v>1224</v>
      </c>
      <c r="J61" s="159">
        <v>90</v>
      </c>
      <c r="K61" s="159">
        <f t="shared" si="0"/>
        <v>0</v>
      </c>
    </row>
    <row r="62" spans="1:11">
      <c r="A62" s="159" t="s">
        <v>1220</v>
      </c>
      <c r="B62" s="211" t="s">
        <v>669</v>
      </c>
      <c r="C62" s="162">
        <v>46016</v>
      </c>
      <c r="D62" s="159">
        <v>90</v>
      </c>
      <c r="E62" s="159" t="s">
        <v>1222</v>
      </c>
      <c r="F62" s="163" t="s">
        <v>536</v>
      </c>
      <c r="G62" s="159">
        <v>90</v>
      </c>
      <c r="H62" s="163" t="s">
        <v>472</v>
      </c>
      <c r="I62" s="159" t="s">
        <v>1224</v>
      </c>
      <c r="J62" s="159">
        <v>87</v>
      </c>
      <c r="K62" s="159">
        <f t="shared" si="0"/>
        <v>3</v>
      </c>
    </row>
    <row r="63" spans="1:11" ht="15.6">
      <c r="A63" s="159" t="s">
        <v>1220</v>
      </c>
      <c r="B63" s="169" t="s">
        <v>670</v>
      </c>
      <c r="C63" s="170">
        <v>46017</v>
      </c>
      <c r="D63" s="159">
        <v>90</v>
      </c>
      <c r="E63" s="159" t="s">
        <v>1222</v>
      </c>
      <c r="F63" s="159" t="s">
        <v>1225</v>
      </c>
      <c r="G63" s="159">
        <v>90</v>
      </c>
      <c r="H63" s="163" t="s">
        <v>472</v>
      </c>
      <c r="I63" s="159" t="s">
        <v>1224</v>
      </c>
      <c r="J63" s="159">
        <v>82</v>
      </c>
      <c r="K63" s="159">
        <f t="shared" si="0"/>
        <v>8</v>
      </c>
    </row>
    <row r="64" spans="1:11">
      <c r="A64" s="159" t="s">
        <v>1220</v>
      </c>
      <c r="B64" s="28" t="s">
        <v>671</v>
      </c>
      <c r="C64" s="170">
        <v>46017</v>
      </c>
      <c r="D64" s="159">
        <v>90</v>
      </c>
      <c r="E64" s="159" t="s">
        <v>1222</v>
      </c>
      <c r="F64" s="159" t="s">
        <v>1226</v>
      </c>
      <c r="G64" s="159">
        <v>90</v>
      </c>
      <c r="H64" s="163" t="s">
        <v>472</v>
      </c>
      <c r="I64" s="159" t="s">
        <v>1224</v>
      </c>
      <c r="J64" s="159">
        <v>90</v>
      </c>
      <c r="K64" s="159">
        <f t="shared" si="0"/>
        <v>0</v>
      </c>
    </row>
    <row r="65" spans="1:11">
      <c r="A65" s="159" t="s">
        <v>1220</v>
      </c>
      <c r="B65" s="28" t="s">
        <v>672</v>
      </c>
      <c r="C65" s="170">
        <v>46017</v>
      </c>
      <c r="D65" s="159">
        <v>90</v>
      </c>
      <c r="E65" s="159" t="s">
        <v>1222</v>
      </c>
      <c r="F65" s="159" t="s">
        <v>469</v>
      </c>
      <c r="G65" s="159">
        <v>90</v>
      </c>
      <c r="H65" s="163" t="s">
        <v>472</v>
      </c>
      <c r="I65" s="159" t="s">
        <v>1224</v>
      </c>
      <c r="J65" s="159">
        <v>87</v>
      </c>
      <c r="K65" s="159">
        <f t="shared" si="0"/>
        <v>3</v>
      </c>
    </row>
    <row r="66" spans="1:11">
      <c r="A66" s="159" t="s">
        <v>1220</v>
      </c>
      <c r="B66" s="28" t="s">
        <v>673</v>
      </c>
      <c r="C66" s="170">
        <v>46020</v>
      </c>
      <c r="D66" s="159">
        <v>90</v>
      </c>
      <c r="E66" s="159" t="s">
        <v>1222</v>
      </c>
      <c r="F66" s="159" t="s">
        <v>542</v>
      </c>
      <c r="G66" s="159">
        <v>90</v>
      </c>
      <c r="H66" s="163" t="s">
        <v>472</v>
      </c>
      <c r="I66" s="159" t="s">
        <v>1224</v>
      </c>
      <c r="J66" s="159">
        <v>89</v>
      </c>
      <c r="K66" s="159">
        <f t="shared" si="0"/>
        <v>1</v>
      </c>
    </row>
    <row r="67" spans="1:11">
      <c r="A67" s="159" t="s">
        <v>1220</v>
      </c>
      <c r="B67" s="28" t="s">
        <v>674</v>
      </c>
      <c r="C67" s="170">
        <v>46020</v>
      </c>
      <c r="D67" s="159">
        <v>90</v>
      </c>
      <c r="E67" s="159" t="s">
        <v>1222</v>
      </c>
      <c r="F67" s="159" t="s">
        <v>1227</v>
      </c>
      <c r="G67" s="159">
        <v>90</v>
      </c>
      <c r="H67" s="163" t="s">
        <v>472</v>
      </c>
      <c r="I67" s="159" t="s">
        <v>1224</v>
      </c>
      <c r="J67" s="159">
        <v>89</v>
      </c>
      <c r="K67" s="159">
        <f t="shared" ref="K67:K114" si="1">G67-J67</f>
        <v>1</v>
      </c>
    </row>
    <row r="68" spans="1:11">
      <c r="A68" s="159" t="s">
        <v>1220</v>
      </c>
      <c r="B68" s="28" t="s">
        <v>675</v>
      </c>
      <c r="C68" s="170">
        <v>46020</v>
      </c>
      <c r="D68" s="159">
        <v>90</v>
      </c>
      <c r="E68" s="159" t="s">
        <v>1222</v>
      </c>
      <c r="F68" s="159" t="s">
        <v>1225</v>
      </c>
      <c r="G68" s="159">
        <v>90</v>
      </c>
      <c r="H68" s="163" t="s">
        <v>472</v>
      </c>
      <c r="I68" s="159" t="s">
        <v>1224</v>
      </c>
      <c r="J68" s="159">
        <v>90</v>
      </c>
      <c r="K68" s="159">
        <f t="shared" si="1"/>
        <v>0</v>
      </c>
    </row>
    <row r="69" spans="1:11">
      <c r="A69" s="159" t="s">
        <v>1220</v>
      </c>
      <c r="B69" s="28" t="s">
        <v>676</v>
      </c>
      <c r="C69" s="170">
        <v>46021</v>
      </c>
      <c r="D69" s="159">
        <v>90</v>
      </c>
      <c r="E69" s="159" t="s">
        <v>1222</v>
      </c>
      <c r="F69" s="159" t="s">
        <v>470</v>
      </c>
      <c r="G69" s="159">
        <v>90</v>
      </c>
      <c r="H69" s="163" t="s">
        <v>472</v>
      </c>
      <c r="I69" s="159" t="s">
        <v>1224</v>
      </c>
      <c r="J69" s="159">
        <v>87</v>
      </c>
      <c r="K69" s="159">
        <f t="shared" si="1"/>
        <v>3</v>
      </c>
    </row>
    <row r="70" spans="1:11">
      <c r="A70" s="159" t="s">
        <v>1220</v>
      </c>
      <c r="B70" s="28" t="s">
        <v>677</v>
      </c>
      <c r="C70" s="170">
        <v>46028</v>
      </c>
      <c r="D70" s="159">
        <v>90</v>
      </c>
      <c r="E70" s="159" t="s">
        <v>1222</v>
      </c>
      <c r="F70" s="159" t="s">
        <v>562</v>
      </c>
      <c r="G70" s="159">
        <v>90</v>
      </c>
      <c r="H70" s="163" t="s">
        <v>538</v>
      </c>
      <c r="I70" s="159" t="s">
        <v>535</v>
      </c>
      <c r="J70" s="159">
        <v>79</v>
      </c>
      <c r="K70" s="159">
        <f t="shared" si="1"/>
        <v>11</v>
      </c>
    </row>
    <row r="71" spans="1:11">
      <c r="A71" s="159" t="s">
        <v>1220</v>
      </c>
      <c r="B71" s="28" t="s">
        <v>678</v>
      </c>
      <c r="C71" s="170">
        <v>46029</v>
      </c>
      <c r="D71" s="159">
        <v>90</v>
      </c>
      <c r="E71" s="159" t="s">
        <v>1222</v>
      </c>
      <c r="F71" s="159" t="s">
        <v>1225</v>
      </c>
      <c r="G71" s="159">
        <v>90</v>
      </c>
      <c r="H71" s="163" t="s">
        <v>469</v>
      </c>
      <c r="I71" s="159" t="s">
        <v>535</v>
      </c>
      <c r="J71" s="159">
        <v>80</v>
      </c>
      <c r="K71" s="159">
        <f t="shared" si="1"/>
        <v>10</v>
      </c>
    </row>
    <row r="72" spans="1:11">
      <c r="A72" s="159" t="s">
        <v>1220</v>
      </c>
      <c r="B72" s="28" t="s">
        <v>679</v>
      </c>
      <c r="C72" s="170">
        <v>46029</v>
      </c>
      <c r="D72" s="159">
        <v>90</v>
      </c>
      <c r="E72" s="159" t="s">
        <v>1222</v>
      </c>
      <c r="F72" s="159" t="s">
        <v>473</v>
      </c>
      <c r="G72" s="159">
        <v>90</v>
      </c>
      <c r="H72" s="163" t="s">
        <v>538</v>
      </c>
      <c r="I72" s="159" t="s">
        <v>535</v>
      </c>
      <c r="J72" s="163">
        <v>88</v>
      </c>
      <c r="K72" s="159">
        <f t="shared" si="1"/>
        <v>2</v>
      </c>
    </row>
    <row r="73" spans="1:11">
      <c r="A73" s="159" t="s">
        <v>1220</v>
      </c>
      <c r="B73" s="28" t="s">
        <v>680</v>
      </c>
      <c r="C73" s="170">
        <v>46030</v>
      </c>
      <c r="D73" s="159">
        <v>90</v>
      </c>
      <c r="E73" s="159" t="s">
        <v>1222</v>
      </c>
      <c r="F73" s="159" t="s">
        <v>519</v>
      </c>
      <c r="G73" s="159">
        <v>90</v>
      </c>
      <c r="H73" s="163" t="s">
        <v>469</v>
      </c>
      <c r="I73" s="159" t="s">
        <v>535</v>
      </c>
      <c r="J73" s="159">
        <v>87</v>
      </c>
      <c r="K73" s="159">
        <f t="shared" si="1"/>
        <v>3</v>
      </c>
    </row>
    <row r="74" spans="1:11">
      <c r="A74" s="159" t="s">
        <v>1220</v>
      </c>
      <c r="B74" s="28" t="s">
        <v>681</v>
      </c>
      <c r="C74" s="170">
        <v>46030</v>
      </c>
      <c r="D74" s="159">
        <v>90</v>
      </c>
      <c r="E74" s="159" t="s">
        <v>1222</v>
      </c>
      <c r="F74" s="159" t="s">
        <v>540</v>
      </c>
      <c r="G74" s="159">
        <v>90</v>
      </c>
      <c r="H74" s="163" t="s">
        <v>469</v>
      </c>
      <c r="I74" s="159" t="s">
        <v>535</v>
      </c>
      <c r="J74" s="159">
        <v>87</v>
      </c>
      <c r="K74" s="159">
        <f t="shared" si="1"/>
        <v>3</v>
      </c>
    </row>
    <row r="75" spans="1:11">
      <c r="A75" s="159" t="s">
        <v>1220</v>
      </c>
      <c r="B75" s="182" t="s">
        <v>683</v>
      </c>
      <c r="C75" s="183">
        <v>46031</v>
      </c>
      <c r="D75" s="159">
        <v>90</v>
      </c>
      <c r="E75" s="159" t="s">
        <v>1222</v>
      </c>
      <c r="F75" s="180" t="s">
        <v>536</v>
      </c>
      <c r="G75" s="159">
        <v>90</v>
      </c>
      <c r="H75" s="163" t="s">
        <v>469</v>
      </c>
      <c r="I75" s="159" t="s">
        <v>535</v>
      </c>
      <c r="J75" s="159">
        <v>90</v>
      </c>
      <c r="K75" s="159">
        <f t="shared" si="1"/>
        <v>0</v>
      </c>
    </row>
    <row r="76" spans="1:11">
      <c r="A76" s="159" t="s">
        <v>1220</v>
      </c>
      <c r="B76" s="180" t="s">
        <v>684</v>
      </c>
      <c r="C76" s="183">
        <v>46031</v>
      </c>
      <c r="D76" s="159">
        <v>90</v>
      </c>
      <c r="E76" s="159" t="s">
        <v>1222</v>
      </c>
      <c r="F76" s="180" t="s">
        <v>540</v>
      </c>
      <c r="G76" s="159">
        <v>90</v>
      </c>
      <c r="H76" s="163" t="s">
        <v>469</v>
      </c>
      <c r="I76" s="159" t="s">
        <v>535</v>
      </c>
      <c r="J76" s="159">
        <v>90</v>
      </c>
      <c r="K76" s="159">
        <f t="shared" si="1"/>
        <v>0</v>
      </c>
    </row>
    <row r="77" spans="1:11">
      <c r="A77" s="159" t="s">
        <v>1220</v>
      </c>
      <c r="B77" s="180" t="s">
        <v>685</v>
      </c>
      <c r="C77" s="183">
        <v>46032</v>
      </c>
      <c r="D77" s="159">
        <v>90</v>
      </c>
      <c r="E77" s="159" t="s">
        <v>1222</v>
      </c>
      <c r="F77" s="180" t="s">
        <v>542</v>
      </c>
      <c r="G77" s="159">
        <v>90</v>
      </c>
      <c r="H77" s="163" t="s">
        <v>469</v>
      </c>
      <c r="I77" s="159" t="s">
        <v>535</v>
      </c>
      <c r="J77" s="163">
        <v>86</v>
      </c>
      <c r="K77" s="159">
        <f t="shared" si="1"/>
        <v>4</v>
      </c>
    </row>
    <row r="78" spans="1:11">
      <c r="A78" s="159" t="s">
        <v>1220</v>
      </c>
      <c r="B78" s="180" t="s">
        <v>686</v>
      </c>
      <c r="C78" s="183">
        <v>46034</v>
      </c>
      <c r="D78" s="159">
        <v>90</v>
      </c>
      <c r="E78" s="159" t="s">
        <v>1222</v>
      </c>
      <c r="F78" s="180" t="s">
        <v>470</v>
      </c>
      <c r="G78" s="159">
        <v>90</v>
      </c>
      <c r="H78" s="163" t="s">
        <v>469</v>
      </c>
      <c r="I78" s="159" t="s">
        <v>535</v>
      </c>
      <c r="J78" s="163">
        <v>88</v>
      </c>
      <c r="K78" s="159">
        <f t="shared" si="1"/>
        <v>2</v>
      </c>
    </row>
    <row r="79" spans="1:11">
      <c r="A79" s="159" t="s">
        <v>1220</v>
      </c>
      <c r="B79" s="181" t="s">
        <v>687</v>
      </c>
      <c r="C79" s="183">
        <v>46035</v>
      </c>
      <c r="D79" s="159">
        <v>90</v>
      </c>
      <c r="E79" s="159" t="s">
        <v>1222</v>
      </c>
      <c r="F79" s="180" t="s">
        <v>473</v>
      </c>
      <c r="G79" s="159">
        <v>90</v>
      </c>
      <c r="H79" s="163" t="s">
        <v>469</v>
      </c>
      <c r="I79" s="159" t="s">
        <v>535</v>
      </c>
      <c r="J79" s="163">
        <v>85</v>
      </c>
      <c r="K79" s="159">
        <f t="shared" si="1"/>
        <v>5</v>
      </c>
    </row>
    <row r="80" spans="1:11">
      <c r="A80" s="159" t="s">
        <v>1220</v>
      </c>
      <c r="B80" s="180" t="s">
        <v>688</v>
      </c>
      <c r="C80" s="183">
        <v>46035</v>
      </c>
      <c r="D80" s="159">
        <v>90</v>
      </c>
      <c r="E80" s="159" t="s">
        <v>1222</v>
      </c>
      <c r="F80" s="180" t="s">
        <v>540</v>
      </c>
      <c r="G80" s="159">
        <v>90</v>
      </c>
      <c r="H80" s="163" t="s">
        <v>469</v>
      </c>
      <c r="I80" s="159" t="s">
        <v>535</v>
      </c>
      <c r="J80" s="163">
        <v>89</v>
      </c>
      <c r="K80" s="159">
        <f t="shared" si="1"/>
        <v>1</v>
      </c>
    </row>
    <row r="81" spans="1:11">
      <c r="A81" s="159" t="s">
        <v>1220</v>
      </c>
      <c r="B81" s="180" t="s">
        <v>689</v>
      </c>
      <c r="C81" s="183">
        <v>46036</v>
      </c>
      <c r="D81" s="159">
        <v>90</v>
      </c>
      <c r="E81" s="159" t="s">
        <v>1222</v>
      </c>
      <c r="F81" s="180" t="s">
        <v>690</v>
      </c>
      <c r="G81" s="159">
        <v>90</v>
      </c>
      <c r="H81" s="163" t="s">
        <v>469</v>
      </c>
      <c r="I81" s="159" t="s">
        <v>535</v>
      </c>
      <c r="J81" s="163">
        <v>87</v>
      </c>
      <c r="K81" s="159">
        <f t="shared" si="1"/>
        <v>3</v>
      </c>
    </row>
    <row r="82" spans="1:11">
      <c r="A82" s="159" t="s">
        <v>1220</v>
      </c>
      <c r="B82" s="180" t="s">
        <v>691</v>
      </c>
      <c r="C82" s="183">
        <v>46036</v>
      </c>
      <c r="D82" s="159">
        <v>90</v>
      </c>
      <c r="E82" s="159" t="s">
        <v>1222</v>
      </c>
      <c r="F82" s="180" t="s">
        <v>473</v>
      </c>
      <c r="G82" s="159">
        <v>90</v>
      </c>
      <c r="H82" s="163" t="s">
        <v>469</v>
      </c>
      <c r="I82" s="159" t="s">
        <v>535</v>
      </c>
      <c r="J82" s="163">
        <v>87</v>
      </c>
      <c r="K82" s="159">
        <f t="shared" si="1"/>
        <v>3</v>
      </c>
    </row>
    <row r="83" spans="1:11">
      <c r="A83" s="159" t="s">
        <v>1220</v>
      </c>
      <c r="B83" s="180" t="s">
        <v>692</v>
      </c>
      <c r="C83" s="183">
        <v>46036</v>
      </c>
      <c r="D83" s="159">
        <v>90</v>
      </c>
      <c r="E83" s="159" t="s">
        <v>1222</v>
      </c>
      <c r="F83" s="180" t="s">
        <v>540</v>
      </c>
      <c r="G83" s="159">
        <v>90</v>
      </c>
      <c r="H83" s="163" t="s">
        <v>469</v>
      </c>
      <c r="I83" s="159" t="s">
        <v>535</v>
      </c>
      <c r="J83" s="163">
        <v>86</v>
      </c>
      <c r="K83" s="159">
        <f t="shared" si="1"/>
        <v>4</v>
      </c>
    </row>
    <row r="84" spans="1:11">
      <c r="A84" s="159" t="s">
        <v>1220</v>
      </c>
      <c r="B84" s="180" t="s">
        <v>693</v>
      </c>
      <c r="C84" s="183">
        <v>46037</v>
      </c>
      <c r="D84" s="159">
        <v>90</v>
      </c>
      <c r="E84" s="159" t="s">
        <v>1222</v>
      </c>
      <c r="F84" s="180" t="s">
        <v>470</v>
      </c>
      <c r="G84" s="159">
        <v>90</v>
      </c>
      <c r="H84" s="163" t="s">
        <v>472</v>
      </c>
      <c r="I84" s="159" t="s">
        <v>535</v>
      </c>
      <c r="J84" s="163">
        <v>83</v>
      </c>
      <c r="K84" s="159">
        <f t="shared" si="1"/>
        <v>7</v>
      </c>
    </row>
    <row r="85" spans="1:11">
      <c r="A85" s="159" t="s">
        <v>1220</v>
      </c>
      <c r="B85" s="180" t="s">
        <v>694</v>
      </c>
      <c r="C85" s="183">
        <v>46037</v>
      </c>
      <c r="D85" s="159">
        <v>90</v>
      </c>
      <c r="E85" s="159" t="s">
        <v>1222</v>
      </c>
      <c r="F85" s="180" t="s">
        <v>540</v>
      </c>
      <c r="G85" s="159">
        <v>90</v>
      </c>
      <c r="H85" s="163" t="s">
        <v>469</v>
      </c>
      <c r="I85" s="159" t="s">
        <v>535</v>
      </c>
      <c r="J85" s="163">
        <v>88</v>
      </c>
      <c r="K85" s="159">
        <f t="shared" si="1"/>
        <v>2</v>
      </c>
    </row>
    <row r="86" spans="1:11">
      <c r="A86" s="159" t="s">
        <v>1220</v>
      </c>
      <c r="B86" s="180" t="s">
        <v>695</v>
      </c>
      <c r="C86" s="183">
        <v>46038</v>
      </c>
      <c r="D86" s="159">
        <v>90</v>
      </c>
      <c r="E86" s="159" t="s">
        <v>1222</v>
      </c>
      <c r="F86" s="180" t="s">
        <v>470</v>
      </c>
      <c r="G86" s="159">
        <v>90</v>
      </c>
      <c r="H86" s="163" t="s">
        <v>472</v>
      </c>
      <c r="I86" s="159" t="s">
        <v>535</v>
      </c>
      <c r="J86" s="163">
        <v>89</v>
      </c>
      <c r="K86" s="159">
        <f t="shared" si="1"/>
        <v>1</v>
      </c>
    </row>
    <row r="87" spans="1:11">
      <c r="A87" s="159" t="s">
        <v>1220</v>
      </c>
      <c r="B87" s="180" t="s">
        <v>696</v>
      </c>
      <c r="C87" s="183">
        <v>46039</v>
      </c>
      <c r="D87" s="159">
        <v>90</v>
      </c>
      <c r="E87" s="159" t="s">
        <v>1222</v>
      </c>
      <c r="F87" s="180" t="s">
        <v>473</v>
      </c>
      <c r="G87" s="159">
        <v>90</v>
      </c>
      <c r="H87" s="163" t="s">
        <v>469</v>
      </c>
      <c r="I87" s="159" t="s">
        <v>535</v>
      </c>
      <c r="J87" s="163">
        <v>88</v>
      </c>
      <c r="K87" s="159">
        <f t="shared" si="1"/>
        <v>2</v>
      </c>
    </row>
    <row r="88" spans="1:11">
      <c r="A88" s="159" t="s">
        <v>1220</v>
      </c>
      <c r="B88" s="180" t="s">
        <v>697</v>
      </c>
      <c r="C88" s="183">
        <v>46039</v>
      </c>
      <c r="D88" s="159">
        <v>90</v>
      </c>
      <c r="E88" s="159" t="s">
        <v>1222</v>
      </c>
      <c r="F88" s="180" t="s">
        <v>470</v>
      </c>
      <c r="G88" s="159">
        <v>90</v>
      </c>
      <c r="H88" s="163" t="s">
        <v>469</v>
      </c>
      <c r="I88" s="159" t="s">
        <v>535</v>
      </c>
      <c r="J88" s="163">
        <v>83</v>
      </c>
      <c r="K88" s="159">
        <f t="shared" si="1"/>
        <v>7</v>
      </c>
    </row>
    <row r="89" spans="1:11">
      <c r="A89" s="159" t="s">
        <v>1220</v>
      </c>
      <c r="B89" s="180" t="s">
        <v>698</v>
      </c>
      <c r="C89" s="183">
        <v>46039</v>
      </c>
      <c r="D89" s="159">
        <v>90</v>
      </c>
      <c r="E89" s="159" t="s">
        <v>1222</v>
      </c>
      <c r="F89" s="180" t="s">
        <v>469</v>
      </c>
      <c r="G89" s="159">
        <v>90</v>
      </c>
      <c r="H89" s="163" t="s">
        <v>469</v>
      </c>
      <c r="I89" s="159" t="s">
        <v>535</v>
      </c>
      <c r="J89" s="163">
        <v>87</v>
      </c>
      <c r="K89" s="159">
        <f t="shared" si="1"/>
        <v>3</v>
      </c>
    </row>
    <row r="90" spans="1:11">
      <c r="A90" s="159" t="s">
        <v>1220</v>
      </c>
      <c r="B90" s="180" t="s">
        <v>699</v>
      </c>
      <c r="C90" s="183">
        <v>46041</v>
      </c>
      <c r="D90" s="159">
        <v>90</v>
      </c>
      <c r="E90" s="159" t="s">
        <v>1222</v>
      </c>
      <c r="F90" s="180" t="s">
        <v>470</v>
      </c>
      <c r="G90" s="159">
        <v>90</v>
      </c>
      <c r="H90" s="163" t="s">
        <v>469</v>
      </c>
      <c r="I90" s="159" t="s">
        <v>535</v>
      </c>
      <c r="J90" s="163">
        <v>89</v>
      </c>
      <c r="K90" s="159">
        <f t="shared" si="1"/>
        <v>1</v>
      </c>
    </row>
    <row r="91" spans="1:11">
      <c r="A91" s="159" t="s">
        <v>1220</v>
      </c>
      <c r="B91" s="180" t="s">
        <v>700</v>
      </c>
      <c r="C91" s="183">
        <v>46041</v>
      </c>
      <c r="D91" s="159">
        <v>90</v>
      </c>
      <c r="E91" s="159" t="s">
        <v>1222</v>
      </c>
      <c r="F91" s="180" t="s">
        <v>473</v>
      </c>
      <c r="G91" s="159">
        <v>90</v>
      </c>
      <c r="H91" s="163" t="s">
        <v>469</v>
      </c>
      <c r="I91" s="159" t="s">
        <v>535</v>
      </c>
      <c r="J91" s="163">
        <v>89</v>
      </c>
      <c r="K91" s="159">
        <f t="shared" si="1"/>
        <v>1</v>
      </c>
    </row>
    <row r="92" spans="1:11">
      <c r="A92" s="159" t="s">
        <v>1220</v>
      </c>
      <c r="B92" s="180" t="s">
        <v>701</v>
      </c>
      <c r="C92" s="183">
        <v>46042</v>
      </c>
      <c r="D92" s="159">
        <v>90</v>
      </c>
      <c r="E92" s="159" t="s">
        <v>1222</v>
      </c>
      <c r="F92" s="180" t="s">
        <v>470</v>
      </c>
      <c r="G92" s="159">
        <v>90</v>
      </c>
      <c r="H92" s="163" t="s">
        <v>469</v>
      </c>
      <c r="I92" s="159" t="s">
        <v>535</v>
      </c>
      <c r="J92" s="163">
        <v>87</v>
      </c>
      <c r="K92" s="159">
        <f t="shared" si="1"/>
        <v>3</v>
      </c>
    </row>
    <row r="93" spans="1:11">
      <c r="A93" s="159" t="s">
        <v>1220</v>
      </c>
      <c r="B93" s="180" t="s">
        <v>702</v>
      </c>
      <c r="C93" s="183">
        <v>46042</v>
      </c>
      <c r="D93" s="159">
        <v>90</v>
      </c>
      <c r="E93" s="159" t="s">
        <v>1222</v>
      </c>
      <c r="F93" s="180" t="s">
        <v>473</v>
      </c>
      <c r="G93" s="159">
        <v>90</v>
      </c>
      <c r="H93" s="163" t="s">
        <v>469</v>
      </c>
      <c r="I93" s="159" t="s">
        <v>535</v>
      </c>
      <c r="J93" s="163">
        <v>87</v>
      </c>
      <c r="K93" s="159">
        <f t="shared" si="1"/>
        <v>3</v>
      </c>
    </row>
    <row r="94" spans="1:11">
      <c r="A94" s="159" t="s">
        <v>1220</v>
      </c>
      <c r="B94" s="180" t="s">
        <v>703</v>
      </c>
      <c r="C94" s="183">
        <v>46043</v>
      </c>
      <c r="D94" s="159">
        <v>90</v>
      </c>
      <c r="E94" s="159" t="s">
        <v>1222</v>
      </c>
      <c r="F94" s="180" t="s">
        <v>562</v>
      </c>
      <c r="G94" s="159">
        <v>90</v>
      </c>
      <c r="H94" s="163" t="s">
        <v>469</v>
      </c>
      <c r="I94" s="159" t="s">
        <v>535</v>
      </c>
      <c r="J94" s="163">
        <v>90</v>
      </c>
      <c r="K94" s="159">
        <f t="shared" si="1"/>
        <v>0</v>
      </c>
    </row>
    <row r="95" spans="1:11">
      <c r="A95" s="159" t="s">
        <v>1220</v>
      </c>
      <c r="B95" s="180" t="s">
        <v>704</v>
      </c>
      <c r="C95" s="183">
        <v>46043</v>
      </c>
      <c r="D95" s="159">
        <v>90</v>
      </c>
      <c r="E95" s="159" t="s">
        <v>1222</v>
      </c>
      <c r="F95" s="180" t="s">
        <v>562</v>
      </c>
      <c r="G95" s="159">
        <v>90</v>
      </c>
      <c r="H95" s="163" t="s">
        <v>469</v>
      </c>
      <c r="I95" s="159" t="s">
        <v>535</v>
      </c>
      <c r="J95" s="163">
        <v>87</v>
      </c>
      <c r="K95" s="159">
        <f t="shared" si="1"/>
        <v>3</v>
      </c>
    </row>
    <row r="96" spans="1:11">
      <c r="A96" s="159" t="s">
        <v>1220</v>
      </c>
      <c r="B96" s="180" t="s">
        <v>705</v>
      </c>
      <c r="C96" s="183">
        <v>46044</v>
      </c>
      <c r="D96" s="159">
        <v>90</v>
      </c>
      <c r="E96" s="159" t="s">
        <v>1222</v>
      </c>
      <c r="F96" s="180" t="s">
        <v>562</v>
      </c>
      <c r="G96" s="159">
        <v>90</v>
      </c>
      <c r="H96" s="163" t="s">
        <v>469</v>
      </c>
      <c r="I96" s="159" t="s">
        <v>535</v>
      </c>
      <c r="J96" s="163">
        <v>86</v>
      </c>
      <c r="K96" s="159">
        <f t="shared" si="1"/>
        <v>4</v>
      </c>
    </row>
    <row r="97" spans="1:11">
      <c r="A97" s="159" t="s">
        <v>1220</v>
      </c>
      <c r="B97" s="180" t="s">
        <v>706</v>
      </c>
      <c r="C97" s="183">
        <v>46045</v>
      </c>
      <c r="D97" s="159">
        <v>90</v>
      </c>
      <c r="E97" s="159" t="s">
        <v>1222</v>
      </c>
      <c r="F97" s="180" t="s">
        <v>562</v>
      </c>
      <c r="G97" s="159">
        <v>90</v>
      </c>
      <c r="H97" s="163" t="s">
        <v>469</v>
      </c>
      <c r="I97" s="159" t="s">
        <v>535</v>
      </c>
      <c r="J97" s="163">
        <v>85</v>
      </c>
      <c r="K97" s="159">
        <f t="shared" si="1"/>
        <v>5</v>
      </c>
    </row>
    <row r="98" spans="1:11">
      <c r="A98" s="159" t="s">
        <v>1220</v>
      </c>
      <c r="B98" s="180" t="s">
        <v>7</v>
      </c>
      <c r="C98" s="183">
        <v>46045</v>
      </c>
      <c r="D98" s="159">
        <v>90</v>
      </c>
      <c r="E98" s="159" t="s">
        <v>1222</v>
      </c>
      <c r="F98" s="180" t="s">
        <v>469</v>
      </c>
      <c r="G98" s="159">
        <v>90</v>
      </c>
      <c r="H98" s="163" t="s">
        <v>469</v>
      </c>
      <c r="I98" s="159" t="s">
        <v>535</v>
      </c>
      <c r="J98" s="163">
        <v>88</v>
      </c>
      <c r="K98" s="159">
        <f t="shared" si="1"/>
        <v>2</v>
      </c>
    </row>
    <row r="99" spans="1:11">
      <c r="A99" s="159" t="s">
        <v>1220</v>
      </c>
      <c r="B99" s="180" t="s">
        <v>11</v>
      </c>
      <c r="C99" s="183">
        <v>46045</v>
      </c>
      <c r="D99" s="159">
        <v>90</v>
      </c>
      <c r="E99" s="159" t="s">
        <v>1222</v>
      </c>
      <c r="F99" s="180" t="s">
        <v>469</v>
      </c>
      <c r="G99" s="159">
        <v>90</v>
      </c>
      <c r="H99" s="163" t="s">
        <v>469</v>
      </c>
      <c r="I99" s="159" t="s">
        <v>535</v>
      </c>
      <c r="J99" s="163">
        <v>89</v>
      </c>
      <c r="K99" s="159">
        <f t="shared" si="1"/>
        <v>1</v>
      </c>
    </row>
    <row r="100" spans="1:11">
      <c r="A100" s="159" t="s">
        <v>1220</v>
      </c>
      <c r="B100" s="180" t="s">
        <v>19</v>
      </c>
      <c r="C100" s="183">
        <v>46048</v>
      </c>
      <c r="D100" s="159">
        <v>90</v>
      </c>
      <c r="E100" s="159" t="s">
        <v>1222</v>
      </c>
      <c r="F100" s="180" t="s">
        <v>473</v>
      </c>
      <c r="G100" s="159">
        <v>90</v>
      </c>
      <c r="H100" s="163" t="s">
        <v>472</v>
      </c>
      <c r="I100" s="159" t="s">
        <v>535</v>
      </c>
      <c r="J100" s="163">
        <v>89</v>
      </c>
      <c r="K100" s="159">
        <f t="shared" si="1"/>
        <v>1</v>
      </c>
    </row>
    <row r="101" spans="1:11">
      <c r="A101" s="159" t="s">
        <v>1220</v>
      </c>
      <c r="B101" s="180" t="s">
        <v>15</v>
      </c>
      <c r="C101" s="183">
        <v>46048</v>
      </c>
      <c r="D101" s="159">
        <v>90</v>
      </c>
      <c r="E101" s="159" t="s">
        <v>1222</v>
      </c>
      <c r="F101" s="180" t="s">
        <v>540</v>
      </c>
      <c r="G101" s="159">
        <v>90</v>
      </c>
      <c r="H101" s="163" t="s">
        <v>472</v>
      </c>
      <c r="I101" s="159" t="s">
        <v>535</v>
      </c>
      <c r="J101" s="163">
        <v>86</v>
      </c>
      <c r="K101" s="159">
        <f t="shared" si="1"/>
        <v>4</v>
      </c>
    </row>
    <row r="102" spans="1:11">
      <c r="A102" s="159" t="s">
        <v>1220</v>
      </c>
      <c r="B102" s="180" t="s">
        <v>22</v>
      </c>
      <c r="C102" s="183">
        <v>46049</v>
      </c>
      <c r="D102" s="159">
        <v>90</v>
      </c>
      <c r="E102" s="159" t="s">
        <v>1222</v>
      </c>
      <c r="F102" s="180" t="s">
        <v>540</v>
      </c>
      <c r="G102" s="159">
        <v>90</v>
      </c>
      <c r="H102" s="163" t="s">
        <v>472</v>
      </c>
      <c r="I102" s="159" t="s">
        <v>535</v>
      </c>
      <c r="J102" s="163">
        <v>88</v>
      </c>
      <c r="K102" s="159">
        <f t="shared" si="1"/>
        <v>2</v>
      </c>
    </row>
    <row r="103" spans="1:11">
      <c r="A103" s="159" t="s">
        <v>1220</v>
      </c>
      <c r="B103" s="180" t="s">
        <v>25</v>
      </c>
      <c r="C103" s="183">
        <v>46050</v>
      </c>
      <c r="D103" s="159">
        <v>90</v>
      </c>
      <c r="E103" s="159" t="s">
        <v>1222</v>
      </c>
      <c r="F103" s="180" t="s">
        <v>473</v>
      </c>
      <c r="G103" s="159">
        <v>90</v>
      </c>
      <c r="H103" s="163" t="s">
        <v>469</v>
      </c>
      <c r="I103" s="159" t="s">
        <v>535</v>
      </c>
      <c r="J103" s="163">
        <v>86</v>
      </c>
      <c r="K103" s="159">
        <f t="shared" si="1"/>
        <v>4</v>
      </c>
    </row>
    <row r="104" spans="1:11">
      <c r="A104" s="159" t="s">
        <v>1220</v>
      </c>
      <c r="B104" s="180" t="s">
        <v>28</v>
      </c>
      <c r="C104" s="183">
        <v>46051</v>
      </c>
      <c r="D104" s="159">
        <v>90</v>
      </c>
      <c r="E104" s="159" t="s">
        <v>1222</v>
      </c>
      <c r="F104" s="180" t="s">
        <v>540</v>
      </c>
      <c r="G104" s="159">
        <v>90</v>
      </c>
      <c r="H104" s="163" t="s">
        <v>472</v>
      </c>
      <c r="I104" s="159" t="s">
        <v>535</v>
      </c>
      <c r="J104" s="163">
        <v>89</v>
      </c>
      <c r="K104" s="159">
        <f t="shared" si="1"/>
        <v>1</v>
      </c>
    </row>
    <row r="105" spans="1:11">
      <c r="A105" s="159" t="s">
        <v>1220</v>
      </c>
      <c r="B105" s="180" t="s">
        <v>707</v>
      </c>
      <c r="C105" s="183">
        <v>46051</v>
      </c>
      <c r="D105" s="159">
        <v>90</v>
      </c>
      <c r="E105" s="159" t="s">
        <v>1222</v>
      </c>
      <c r="F105" s="180" t="s">
        <v>473</v>
      </c>
      <c r="G105" s="159">
        <v>90</v>
      </c>
      <c r="H105" s="163" t="s">
        <v>469</v>
      </c>
      <c r="I105" s="159" t="s">
        <v>535</v>
      </c>
      <c r="J105" s="163">
        <v>86</v>
      </c>
      <c r="K105" s="159">
        <f t="shared" si="1"/>
        <v>4</v>
      </c>
    </row>
    <row r="106" spans="1:11">
      <c r="A106" s="159" t="s">
        <v>1220</v>
      </c>
      <c r="B106" s="180" t="s">
        <v>34</v>
      </c>
      <c r="C106" s="183">
        <v>46052</v>
      </c>
      <c r="D106" s="159">
        <v>90</v>
      </c>
      <c r="E106" s="159" t="s">
        <v>1222</v>
      </c>
      <c r="F106" s="180" t="s">
        <v>540</v>
      </c>
      <c r="G106" s="159">
        <v>90</v>
      </c>
      <c r="H106" s="163" t="s">
        <v>469</v>
      </c>
      <c r="I106" s="159" t="s">
        <v>535</v>
      </c>
      <c r="J106" s="163">
        <v>89</v>
      </c>
      <c r="K106" s="159">
        <f t="shared" si="1"/>
        <v>1</v>
      </c>
    </row>
    <row r="107" spans="1:11">
      <c r="A107" s="159" t="s">
        <v>1220</v>
      </c>
      <c r="B107" s="180" t="s">
        <v>40</v>
      </c>
      <c r="C107" s="183">
        <v>46052</v>
      </c>
      <c r="D107" s="159">
        <v>90</v>
      </c>
      <c r="E107" s="159" t="s">
        <v>1222</v>
      </c>
      <c r="F107" s="180" t="s">
        <v>473</v>
      </c>
      <c r="G107" s="159">
        <v>90</v>
      </c>
      <c r="H107" s="163" t="s">
        <v>469</v>
      </c>
      <c r="I107" s="159" t="s">
        <v>535</v>
      </c>
      <c r="J107" s="163">
        <v>89</v>
      </c>
      <c r="K107" s="159">
        <f t="shared" si="1"/>
        <v>1</v>
      </c>
    </row>
    <row r="108" spans="1:11">
      <c r="A108" s="159" t="s">
        <v>1220</v>
      </c>
      <c r="B108" s="180" t="s">
        <v>37</v>
      </c>
      <c r="C108" s="183">
        <v>46052</v>
      </c>
      <c r="D108" s="159">
        <v>90</v>
      </c>
      <c r="E108" s="159" t="s">
        <v>1222</v>
      </c>
      <c r="F108" s="180" t="s">
        <v>690</v>
      </c>
      <c r="G108" s="159">
        <v>90</v>
      </c>
      <c r="H108" s="163" t="s">
        <v>469</v>
      </c>
      <c r="I108" s="159" t="s">
        <v>535</v>
      </c>
      <c r="J108" s="163">
        <v>88</v>
      </c>
      <c r="K108" s="159">
        <f t="shared" si="1"/>
        <v>2</v>
      </c>
    </row>
    <row r="109" spans="1:11">
      <c r="A109" s="159" t="s">
        <v>1220</v>
      </c>
      <c r="B109" s="180" t="s">
        <v>43</v>
      </c>
      <c r="C109" s="183">
        <v>46055</v>
      </c>
      <c r="D109" s="159">
        <v>90</v>
      </c>
      <c r="E109" s="159" t="s">
        <v>1222</v>
      </c>
      <c r="F109" s="180" t="s">
        <v>491</v>
      </c>
      <c r="G109" s="159">
        <v>90</v>
      </c>
      <c r="H109" s="163" t="s">
        <v>469</v>
      </c>
      <c r="I109" s="159" t="s">
        <v>535</v>
      </c>
      <c r="J109" s="163">
        <v>88</v>
      </c>
      <c r="K109" s="159">
        <f t="shared" si="1"/>
        <v>2</v>
      </c>
    </row>
    <row r="110" spans="1:11">
      <c r="A110" s="159" t="s">
        <v>1220</v>
      </c>
      <c r="B110" s="180" t="s">
        <v>46</v>
      </c>
      <c r="C110" s="183">
        <v>46055</v>
      </c>
      <c r="D110" s="159">
        <v>90</v>
      </c>
      <c r="E110" s="159" t="s">
        <v>1222</v>
      </c>
      <c r="F110" s="180" t="s">
        <v>536</v>
      </c>
      <c r="G110" s="159">
        <v>90</v>
      </c>
      <c r="H110" s="163" t="s">
        <v>469</v>
      </c>
      <c r="I110" s="159" t="s">
        <v>535</v>
      </c>
      <c r="J110" s="159">
        <v>90</v>
      </c>
      <c r="K110" s="159">
        <f t="shared" si="1"/>
        <v>0</v>
      </c>
    </row>
    <row r="111" spans="1:11">
      <c r="A111" s="159" t="s">
        <v>1220</v>
      </c>
      <c r="B111" s="180" t="s">
        <v>49</v>
      </c>
      <c r="C111" s="183">
        <v>46055</v>
      </c>
      <c r="D111" s="159">
        <v>90</v>
      </c>
      <c r="E111" s="159" t="s">
        <v>1222</v>
      </c>
      <c r="F111" s="180" t="s">
        <v>473</v>
      </c>
      <c r="G111" s="159">
        <v>90</v>
      </c>
      <c r="H111" s="163" t="s">
        <v>469</v>
      </c>
      <c r="I111" s="159" t="s">
        <v>535</v>
      </c>
      <c r="J111" s="159">
        <v>89</v>
      </c>
      <c r="K111" s="159">
        <f t="shared" si="1"/>
        <v>1</v>
      </c>
    </row>
    <row r="112" spans="1:11">
      <c r="A112" s="159" t="s">
        <v>1220</v>
      </c>
      <c r="B112" s="180" t="s">
        <v>55</v>
      </c>
      <c r="C112" s="183">
        <v>46057</v>
      </c>
      <c r="D112" s="159">
        <v>90</v>
      </c>
      <c r="E112" s="159" t="s">
        <v>1222</v>
      </c>
      <c r="F112" s="180" t="s">
        <v>709</v>
      </c>
      <c r="G112" s="159">
        <v>90</v>
      </c>
      <c r="H112" s="163" t="s">
        <v>469</v>
      </c>
      <c r="I112" s="159" t="s">
        <v>535</v>
      </c>
      <c r="J112" s="159">
        <v>86</v>
      </c>
      <c r="K112" s="159">
        <f t="shared" si="1"/>
        <v>4</v>
      </c>
    </row>
    <row r="113" spans="1:11">
      <c r="A113" s="159" t="s">
        <v>1220</v>
      </c>
      <c r="B113" s="180" t="s">
        <v>58</v>
      </c>
      <c r="C113" s="183">
        <v>46058</v>
      </c>
      <c r="D113" s="159">
        <v>90</v>
      </c>
      <c r="E113" s="159" t="s">
        <v>1222</v>
      </c>
      <c r="F113" s="180" t="s">
        <v>540</v>
      </c>
      <c r="G113" s="159">
        <v>90</v>
      </c>
      <c r="H113" s="163" t="s">
        <v>469</v>
      </c>
      <c r="I113" s="159" t="s">
        <v>535</v>
      </c>
      <c r="J113" s="159">
        <v>85</v>
      </c>
      <c r="K113" s="159">
        <f t="shared" si="1"/>
        <v>5</v>
      </c>
    </row>
    <row r="114" spans="1:11">
      <c r="A114" s="159" t="s">
        <v>1220</v>
      </c>
      <c r="B114" s="180" t="s">
        <v>61</v>
      </c>
      <c r="C114" s="170">
        <v>46059</v>
      </c>
      <c r="D114" s="159">
        <v>90</v>
      </c>
      <c r="E114" s="159" t="s">
        <v>1222</v>
      </c>
      <c r="F114" s="159" t="s">
        <v>562</v>
      </c>
      <c r="G114" s="159">
        <v>90</v>
      </c>
      <c r="H114" s="163" t="s">
        <v>469</v>
      </c>
      <c r="I114" s="159" t="s">
        <v>535</v>
      </c>
      <c r="J114" s="159">
        <v>86</v>
      </c>
      <c r="K114" s="159">
        <f t="shared" si="1"/>
        <v>4</v>
      </c>
    </row>
    <row r="115" spans="1:11">
      <c r="A115" s="159" t="s">
        <v>1220</v>
      </c>
      <c r="B115" s="180" t="s">
        <v>70</v>
      </c>
      <c r="C115" s="170">
        <v>46060</v>
      </c>
      <c r="D115" s="159">
        <v>90</v>
      </c>
      <c r="E115" s="159" t="s">
        <v>1222</v>
      </c>
      <c r="F115" s="159" t="s">
        <v>1225</v>
      </c>
      <c r="G115" s="159">
        <v>90</v>
      </c>
      <c r="H115" s="163" t="s">
        <v>469</v>
      </c>
    </row>
    <row r="116" spans="1:11">
      <c r="A116" s="159" t="s">
        <v>1220</v>
      </c>
      <c r="B116" s="180" t="s">
        <v>67</v>
      </c>
      <c r="C116" s="170">
        <v>46062</v>
      </c>
      <c r="D116" s="159">
        <v>90</v>
      </c>
      <c r="E116" s="159" t="s">
        <v>1222</v>
      </c>
      <c r="F116" s="159" t="s">
        <v>542</v>
      </c>
      <c r="G116" s="159">
        <v>90</v>
      </c>
      <c r="H116" s="163" t="s">
        <v>469</v>
      </c>
    </row>
    <row r="117" spans="1:11">
      <c r="A117" s="159" t="s">
        <v>1220</v>
      </c>
      <c r="B117" s="180" t="s">
        <v>64</v>
      </c>
      <c r="C117" s="170">
        <v>46062</v>
      </c>
      <c r="D117" s="159">
        <v>90</v>
      </c>
      <c r="E117" s="159" t="s">
        <v>1222</v>
      </c>
      <c r="F117" s="159" t="s">
        <v>1227</v>
      </c>
      <c r="G117" s="159">
        <v>90</v>
      </c>
      <c r="H117" s="163" t="s">
        <v>469</v>
      </c>
    </row>
    <row r="118" spans="1:11">
      <c r="B118" s="28"/>
      <c r="C118" s="170"/>
      <c r="H118" s="163"/>
    </row>
    <row r="119" spans="1:11">
      <c r="A119" s="159" t="s">
        <v>1228</v>
      </c>
      <c r="E119" s="159" t="s">
        <v>1229</v>
      </c>
    </row>
    <row r="120" spans="1:11">
      <c r="A120" s="159" t="s">
        <v>1230</v>
      </c>
      <c r="B120" s="159" t="s">
        <v>1231</v>
      </c>
      <c r="C120" s="162">
        <v>45860</v>
      </c>
      <c r="D120" s="159">
        <v>30</v>
      </c>
      <c r="E120" s="159" t="s">
        <v>1232</v>
      </c>
      <c r="F120" s="159" t="s">
        <v>519</v>
      </c>
      <c r="G120" s="159">
        <v>30</v>
      </c>
      <c r="H120" s="159" t="s">
        <v>535</v>
      </c>
      <c r="I120" s="159" t="s">
        <v>1224</v>
      </c>
      <c r="J120" s="159">
        <v>30</v>
      </c>
      <c r="K120" s="159">
        <v>0</v>
      </c>
    </row>
    <row r="121" spans="1:11" ht="15.6">
      <c r="A121" s="159" t="s">
        <v>1230</v>
      </c>
      <c r="B121" s="164" t="s">
        <v>1233</v>
      </c>
      <c r="C121" s="162">
        <v>45856</v>
      </c>
      <c r="D121" s="159">
        <v>5</v>
      </c>
      <c r="E121" s="159" t="s">
        <v>1232</v>
      </c>
      <c r="F121" s="159" t="s">
        <v>472</v>
      </c>
      <c r="G121" s="159">
        <v>5</v>
      </c>
      <c r="H121" s="159" t="s">
        <v>535</v>
      </c>
      <c r="I121" s="159" t="s">
        <v>1224</v>
      </c>
      <c r="J121" s="159">
        <v>5</v>
      </c>
      <c r="K121" s="159">
        <v>0</v>
      </c>
    </row>
    <row r="122" spans="1:11">
      <c r="A122" s="159" t="s">
        <v>1230</v>
      </c>
      <c r="B122" s="159" t="s">
        <v>1234</v>
      </c>
      <c r="C122" s="162">
        <v>45856</v>
      </c>
      <c r="D122" s="159">
        <v>25</v>
      </c>
      <c r="E122" s="159" t="s">
        <v>1232</v>
      </c>
      <c r="F122" s="159" t="s">
        <v>494</v>
      </c>
      <c r="G122" s="159">
        <v>25</v>
      </c>
      <c r="H122" s="159" t="s">
        <v>535</v>
      </c>
      <c r="I122" s="159" t="s">
        <v>1224</v>
      </c>
      <c r="J122" s="159">
        <v>25</v>
      </c>
      <c r="K122" s="159">
        <v>0</v>
      </c>
    </row>
    <row r="123" spans="1:11">
      <c r="A123" s="159" t="s">
        <v>1230</v>
      </c>
      <c r="B123" s="57" t="s">
        <v>1235</v>
      </c>
      <c r="C123" s="160">
        <v>45870</v>
      </c>
      <c r="D123" s="159">
        <v>8</v>
      </c>
      <c r="E123" s="159" t="s">
        <v>1232</v>
      </c>
      <c r="F123" s="159" t="s">
        <v>478</v>
      </c>
      <c r="G123" s="159">
        <v>8</v>
      </c>
      <c r="H123" s="159" t="s">
        <v>535</v>
      </c>
      <c r="I123" s="159" t="s">
        <v>1224</v>
      </c>
      <c r="J123" s="159">
        <v>8</v>
      </c>
      <c r="K123" s="159">
        <v>0</v>
      </c>
    </row>
    <row r="125" spans="1:11">
      <c r="A125" s="159" t="s">
        <v>1236</v>
      </c>
    </row>
  </sheetData>
  <conditionalFormatting sqref="B63:B74 B118">
    <cfRule type="duplicateValues" dxfId="11" priority="16"/>
  </conditionalFormatting>
  <conditionalFormatting sqref="B63:B74">
    <cfRule type="duplicateValues" dxfId="10" priority="15"/>
  </conditionalFormatting>
  <conditionalFormatting sqref="B75:B113">
    <cfRule type="expression" dxfId="9" priority="13">
      <formula>AND($A75&lt;&gt;" ", $W75="DONE")</formula>
    </cfRule>
  </conditionalFormatting>
  <conditionalFormatting sqref="B76:B113">
    <cfRule type="duplicateValues" dxfId="8" priority="11"/>
    <cfRule type="duplicateValues" dxfId="7" priority="12"/>
  </conditionalFormatting>
  <conditionalFormatting sqref="B114:B117">
    <cfRule type="duplicateValues" dxfId="6" priority="1"/>
    <cfRule type="duplicateValues" dxfId="5" priority="2"/>
    <cfRule type="expression" dxfId="4" priority="3">
      <formula>AND($A114&lt;&gt;" ", $W114="DONE")</formula>
    </cfRule>
  </conditionalFormatting>
  <conditionalFormatting sqref="B63:C74 B118:C118">
    <cfRule type="expression" dxfId="3" priority="17">
      <formula>AND($A63&lt;&gt;" ", $W63="DONE")</formula>
    </cfRule>
  </conditionalFormatting>
  <conditionalFormatting sqref="C75:C117">
    <cfRule type="expression" dxfId="2" priority="10">
      <formula>AND($A75&lt;&gt;" ", $W75="DONE")</formula>
    </cfRule>
  </conditionalFormatting>
  <conditionalFormatting sqref="F75:F113">
    <cfRule type="containsBlanks" dxfId="1" priority="8">
      <formula>LEN(TRIM(F75))=0</formula>
    </cfRule>
    <cfRule type="expression" dxfId="0" priority="9">
      <formula>AND($A75&lt;&gt;" ", $W75="DONE")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9BA9927-3BBB-4A29-BA21-E56C1BDB585F}">
          <x14:formula1>
            <xm:f>Sheet2!B:B</xm:f>
          </x14:formula1>
          <xm:sqref>F75:F113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2D075-DCF3-498C-8109-743F417653E5}">
  <dimension ref="A1:G28"/>
  <sheetViews>
    <sheetView workbookViewId="0">
      <selection activeCell="B29" sqref="B29"/>
    </sheetView>
  </sheetViews>
  <sheetFormatPr defaultRowHeight="14.45"/>
  <cols>
    <col min="1" max="1" width="19.140625" bestFit="1" customWidth="1"/>
    <col min="2" max="2" width="14.140625" customWidth="1"/>
    <col min="3" max="3" width="32.7109375" bestFit="1" customWidth="1"/>
    <col min="4" max="4" width="7.5703125" bestFit="1" customWidth="1"/>
    <col min="5" max="5" width="18.85546875" bestFit="1" customWidth="1"/>
    <col min="6" max="7" width="14.28515625" bestFit="1" customWidth="1"/>
  </cols>
  <sheetData>
    <row r="1" spans="1:7">
      <c r="A1" s="31" t="s">
        <v>1237</v>
      </c>
      <c r="B1" s="31" t="s">
        <v>1238</v>
      </c>
      <c r="C1" s="31" t="s">
        <v>424</v>
      </c>
      <c r="D1" s="31" t="s">
        <v>1238</v>
      </c>
      <c r="E1" s="31" t="s">
        <v>1239</v>
      </c>
      <c r="F1" s="31" t="s">
        <v>1240</v>
      </c>
      <c r="G1" s="31" t="s">
        <v>1241</v>
      </c>
    </row>
    <row r="2" spans="1:7">
      <c r="A2" s="31" t="s">
        <v>1209</v>
      </c>
      <c r="B2" s="31" t="s">
        <v>439</v>
      </c>
      <c r="C2" s="31" t="s">
        <v>1209</v>
      </c>
      <c r="D2" s="31" t="s">
        <v>439</v>
      </c>
      <c r="E2" s="31" t="s">
        <v>1242</v>
      </c>
      <c r="F2" s="31" t="s">
        <v>1209</v>
      </c>
      <c r="G2" s="31" t="s">
        <v>1209</v>
      </c>
    </row>
    <row r="3" spans="1:7">
      <c r="A3" s="31" t="s">
        <v>1243</v>
      </c>
      <c r="B3" s="31" t="s">
        <v>472</v>
      </c>
      <c r="C3" s="31" t="s">
        <v>1243</v>
      </c>
      <c r="D3" s="31" t="s">
        <v>472</v>
      </c>
      <c r="E3" s="31" t="s">
        <v>440</v>
      </c>
      <c r="F3" s="31" t="s">
        <v>1243</v>
      </c>
      <c r="G3" s="31" t="s">
        <v>1243</v>
      </c>
    </row>
    <row r="4" spans="1:7">
      <c r="A4" s="31" t="s">
        <v>431</v>
      </c>
      <c r="B4" s="31" t="s">
        <v>469</v>
      </c>
      <c r="C4" s="31" t="s">
        <v>431</v>
      </c>
      <c r="D4" s="31" t="s">
        <v>469</v>
      </c>
      <c r="E4" s="31" t="s">
        <v>1243</v>
      </c>
      <c r="F4" s="31" t="s">
        <v>431</v>
      </c>
      <c r="G4" s="31" t="s">
        <v>440</v>
      </c>
    </row>
    <row r="5" spans="1:7">
      <c r="A5" s="31" t="s">
        <v>1244</v>
      </c>
      <c r="B5" s="31" t="s">
        <v>473</v>
      </c>
      <c r="C5" s="31" t="s">
        <v>1244</v>
      </c>
      <c r="D5" s="31" t="s">
        <v>473</v>
      </c>
      <c r="E5" s="31" t="s">
        <v>1202</v>
      </c>
      <c r="F5" s="31" t="s">
        <v>1244</v>
      </c>
      <c r="G5" s="31"/>
    </row>
    <row r="6" spans="1:7">
      <c r="A6" s="31" t="s">
        <v>1202</v>
      </c>
      <c r="B6" s="31" t="s">
        <v>470</v>
      </c>
      <c r="C6" s="31"/>
      <c r="D6" s="31" t="s">
        <v>470</v>
      </c>
      <c r="E6" s="31"/>
      <c r="F6" s="31"/>
      <c r="G6" s="31"/>
    </row>
    <row r="7" spans="1:7">
      <c r="A7" s="31"/>
      <c r="B7" t="s">
        <v>483</v>
      </c>
      <c r="C7" s="31"/>
      <c r="D7" t="s">
        <v>483</v>
      </c>
      <c r="E7" s="31"/>
      <c r="F7" s="31"/>
      <c r="G7" s="31"/>
    </row>
    <row r="8" spans="1:7">
      <c r="A8" s="31"/>
      <c r="B8" t="s">
        <v>540</v>
      </c>
      <c r="C8" s="31"/>
      <c r="D8" t="s">
        <v>477</v>
      </c>
      <c r="E8" s="31"/>
      <c r="F8" s="31"/>
      <c r="G8" s="31"/>
    </row>
    <row r="9" spans="1:7">
      <c r="B9" t="s">
        <v>542</v>
      </c>
      <c r="D9" t="s">
        <v>478</v>
      </c>
    </row>
    <row r="10" spans="1:7">
      <c r="B10" t="s">
        <v>478</v>
      </c>
      <c r="D10" s="31" t="s">
        <v>467</v>
      </c>
    </row>
    <row r="11" spans="1:7">
      <c r="B11" s="31" t="s">
        <v>467</v>
      </c>
      <c r="D11" s="80" t="s">
        <v>690</v>
      </c>
    </row>
    <row r="12" spans="1:7">
      <c r="B12" s="80" t="s">
        <v>482</v>
      </c>
    </row>
    <row r="13" spans="1:7">
      <c r="B13" s="80" t="s">
        <v>484</v>
      </c>
    </row>
    <row r="14" spans="1:7">
      <c r="B14" s="80" t="s">
        <v>485</v>
      </c>
    </row>
    <row r="15" spans="1:7">
      <c r="B15" t="s">
        <v>491</v>
      </c>
    </row>
    <row r="16" spans="1:7">
      <c r="B16" t="s">
        <v>494</v>
      </c>
    </row>
    <row r="17" spans="2:2">
      <c r="B17" t="s">
        <v>496</v>
      </c>
    </row>
    <row r="18" spans="2:2">
      <c r="B18" t="s">
        <v>519</v>
      </c>
    </row>
    <row r="19" spans="2:2">
      <c r="B19" t="s">
        <v>524</v>
      </c>
    </row>
    <row r="20" spans="2:2">
      <c r="B20" t="s">
        <v>533</v>
      </c>
    </row>
    <row r="21" spans="2:2">
      <c r="B21" t="s">
        <v>534</v>
      </c>
    </row>
    <row r="22" spans="2:2">
      <c r="B22" t="s">
        <v>536</v>
      </c>
    </row>
    <row r="23" spans="2:2">
      <c r="B23" t="s">
        <v>543</v>
      </c>
    </row>
    <row r="24" spans="2:2">
      <c r="B24" t="s">
        <v>544</v>
      </c>
    </row>
    <row r="25" spans="2:2">
      <c r="B25" t="s">
        <v>553</v>
      </c>
    </row>
    <row r="26" spans="2:2">
      <c r="B26" t="s">
        <v>562</v>
      </c>
    </row>
    <row r="27" spans="2:2">
      <c r="B27" t="s">
        <v>690</v>
      </c>
    </row>
    <row r="28" spans="2:2">
      <c r="B28" t="s">
        <v>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2025-06-18T01:53:24Z</dcterms:created>
  <dcterms:modified xsi:type="dcterms:W3CDTF">2026-04-10T09:48:27Z</dcterms:modified>
  <cp:category/>
  <cp:contentStatus/>
</cp:coreProperties>
</file>